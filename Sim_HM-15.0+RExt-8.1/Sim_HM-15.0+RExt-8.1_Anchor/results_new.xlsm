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drawings/drawing3.xml" ContentType="application/vnd.openxmlformats-officedocument.drawingml.chartshapes+xml"/>
  <Override PartName="/xl/charts/chart3.xml" ContentType="application/vnd.openxmlformats-officedocument.drawingml.chart+xml"/>
  <Override PartName="/xl/drawings/drawing4.xml" ContentType="application/vnd.openxmlformats-officedocument.drawingml.chartshapes+xml"/>
  <Override PartName="/xl/charts/chart4.xml" ContentType="application/vnd.openxmlformats-officedocument.drawingml.chart+xml"/>
  <Override PartName="/xl/drawings/drawing5.xml" ContentType="application/vnd.openxmlformats-officedocument.drawingml.chartshapes+xml"/>
  <Override PartName="/xl/drawings/drawing6.xml" ContentType="application/vnd.openxmlformats-officedocument.drawing+xml"/>
  <Override PartName="/xl/charts/chart5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heme/themeOverride1.xml" ContentType="application/vnd.openxmlformats-officedocument.themeOverride+xml"/>
  <Override PartName="/xl/charts/chart6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heme/themeOverride2.xml" ContentType="application/vnd.openxmlformats-officedocument.themeOverride+xml"/>
  <Override PartName="/xl/charts/chart7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theme/themeOverride3.xml" ContentType="application/vnd.openxmlformats-officedocument.themeOverride+xml"/>
  <Override PartName="/xl/charts/chart8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theme/themeOverride4.xml" ContentType="application/vnd.openxmlformats-officedocument.themeOverride+xml"/>
  <Override PartName="/xl/charts/chart9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theme/themeOverride5.xml" ContentType="application/vnd.openxmlformats-officedocument.themeOverride+xml"/>
  <Override PartName="/xl/charts/chart10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theme/themeOverride6.xml" ContentType="application/vnd.openxmlformats-officedocument.themeOverride+xml"/>
  <Override PartName="/xl/charts/chart11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theme/themeOverride7.xml" ContentType="application/vnd.openxmlformats-officedocument.themeOverride+xml"/>
  <Override PartName="/xl/charts/chart12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theme/themeOverride8.xml" ContentType="application/vnd.openxmlformats-officedocument.themeOverride+xml"/>
  <Override PartName="/xl/charts/chart13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theme/themeOverride9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\\psf\Dropbox\2014 samsung DMC project\Sim_HM-15.0+RExt-8.1\Sim_HM-15.0+RExt-8.1_Anchor\"/>
    </mc:Choice>
  </mc:AlternateContent>
  <bookViews>
    <workbookView xWindow="165" yWindow="0" windowWidth="17160" windowHeight="8190" tabRatio="865" activeTab="3"/>
  </bookViews>
  <sheets>
    <sheet name="Summary" sheetId="9" r:id="rId1"/>
    <sheet name="Summary (Full)" sheetId="16" r:id="rId2"/>
    <sheet name="Plot" sheetId="10" r:id="rId3"/>
    <sheet name="AI-Main" sheetId="1" r:id="rId4"/>
    <sheet name="RA-Main" sheetId="3" r:id="rId5"/>
    <sheet name="LP-Main" sheetId="7" r:id="rId6"/>
    <sheet name="LB-Main" sheetId="5" r:id="rId7"/>
    <sheet name="AI-HE10" sheetId="2" r:id="rId8"/>
    <sheet name="RA-HE10" sheetId="4" r:id="rId9"/>
    <sheet name="LB-HE10" sheetId="6" r:id="rId10"/>
    <sheet name="LP-HE10" sheetId="8" r:id="rId11"/>
  </sheets>
  <functionGroups builtInGroupCount="18"/>
  <externalReferences>
    <externalReference r:id="rId12"/>
  </externalReferences>
  <definedNames>
    <definedName name="_xlnm._FilterDatabase" localSheetId="2" hidden="1">Plot!$A$1:$B$2</definedName>
  </definedNames>
  <calcPr calcId="152511"/>
</workbook>
</file>

<file path=xl/calcChain.xml><?xml version="1.0" encoding="utf-8"?>
<calcChain xmlns="http://schemas.openxmlformats.org/spreadsheetml/2006/main">
  <c r="R470" i="1" l="1"/>
  <c r="J470" i="1"/>
  <c r="R469" i="1"/>
  <c r="J469" i="1"/>
  <c r="R468" i="1"/>
  <c r="J468" i="1"/>
  <c r="R467" i="1"/>
  <c r="J467" i="1"/>
  <c r="R466" i="1"/>
  <c r="J466" i="1"/>
  <c r="R465" i="1"/>
  <c r="J465" i="1"/>
  <c r="R464" i="1"/>
  <c r="J464" i="1"/>
  <c r="R463" i="1"/>
  <c r="J463" i="1"/>
  <c r="R462" i="1"/>
  <c r="J462" i="1"/>
  <c r="R461" i="1"/>
  <c r="J461" i="1"/>
  <c r="R460" i="1"/>
  <c r="J460" i="1"/>
  <c r="R459" i="1"/>
  <c r="J459" i="1"/>
  <c r="R458" i="1"/>
  <c r="J458" i="1"/>
  <c r="R457" i="1"/>
  <c r="J457" i="1"/>
  <c r="R456" i="1"/>
  <c r="J456" i="1"/>
  <c r="R455" i="1"/>
  <c r="J455" i="1"/>
  <c r="R454" i="1"/>
  <c r="J454" i="1"/>
  <c r="R453" i="1"/>
  <c r="J453" i="1"/>
  <c r="R452" i="1"/>
  <c r="J452" i="1"/>
  <c r="R451" i="1"/>
  <c r="J451" i="1"/>
  <c r="R450" i="1"/>
  <c r="J450" i="1"/>
  <c r="R449" i="1"/>
  <c r="J449" i="1"/>
  <c r="R448" i="1"/>
  <c r="J448" i="1"/>
  <c r="R447" i="1"/>
  <c r="J447" i="1"/>
  <c r="R446" i="1"/>
  <c r="J446" i="1"/>
  <c r="R445" i="1"/>
  <c r="J445" i="1"/>
  <c r="R444" i="1"/>
  <c r="J444" i="1"/>
  <c r="R443" i="1"/>
  <c r="J443" i="1"/>
  <c r="R442" i="1"/>
  <c r="J442" i="1"/>
  <c r="R441" i="1"/>
  <c r="J441" i="1"/>
  <c r="R440" i="1"/>
  <c r="J440" i="1"/>
  <c r="R439" i="1"/>
  <c r="J439" i="1"/>
  <c r="R438" i="1"/>
  <c r="J438" i="1"/>
  <c r="R437" i="1"/>
  <c r="J437" i="1"/>
  <c r="R436" i="1"/>
  <c r="J436" i="1"/>
  <c r="R435" i="1"/>
  <c r="J435" i="1"/>
  <c r="R434" i="1"/>
  <c r="J434" i="1"/>
  <c r="R433" i="1"/>
  <c r="J433" i="1"/>
  <c r="R432" i="1"/>
  <c r="J432" i="1"/>
  <c r="R431" i="1"/>
  <c r="J431" i="1"/>
  <c r="R430" i="1"/>
  <c r="J430" i="1"/>
  <c r="R429" i="1"/>
  <c r="J429" i="1"/>
  <c r="R428" i="1"/>
  <c r="J428" i="1"/>
  <c r="R427" i="1"/>
  <c r="J427" i="1"/>
  <c r="R426" i="1"/>
  <c r="J426" i="1"/>
  <c r="R425" i="1"/>
  <c r="J425" i="1"/>
  <c r="R424" i="1"/>
  <c r="J424" i="1"/>
  <c r="R423" i="1"/>
  <c r="J423" i="1"/>
  <c r="R422" i="1"/>
  <c r="J422" i="1"/>
  <c r="R421" i="1"/>
  <c r="J421" i="1"/>
  <c r="R420" i="1"/>
  <c r="J420" i="1"/>
  <c r="R419" i="1"/>
  <c r="J419" i="1"/>
  <c r="R418" i="1"/>
  <c r="J418" i="1"/>
  <c r="R417" i="1"/>
  <c r="J417" i="1"/>
  <c r="R416" i="1"/>
  <c r="J416" i="1"/>
  <c r="R415" i="1"/>
  <c r="J415" i="1"/>
  <c r="R414" i="1"/>
  <c r="J414" i="1"/>
  <c r="R413" i="1"/>
  <c r="J413" i="1"/>
  <c r="R412" i="1"/>
  <c r="J412" i="1"/>
  <c r="R411" i="1"/>
  <c r="J411" i="1"/>
  <c r="R410" i="1"/>
  <c r="J410" i="1"/>
  <c r="R409" i="1"/>
  <c r="J409" i="1"/>
  <c r="R408" i="1"/>
  <c r="J408" i="1"/>
  <c r="R407" i="1"/>
  <c r="J407" i="1"/>
  <c r="R406" i="1"/>
  <c r="J406" i="1"/>
  <c r="R405" i="1"/>
  <c r="J405" i="1"/>
  <c r="R404" i="1"/>
  <c r="J404" i="1"/>
  <c r="R403" i="1"/>
  <c r="J403" i="1"/>
  <c r="R402" i="1"/>
  <c r="J402" i="1"/>
  <c r="R401" i="1"/>
  <c r="J401" i="1"/>
  <c r="R400" i="1"/>
  <c r="J400" i="1"/>
  <c r="R399" i="1"/>
  <c r="J399" i="1"/>
  <c r="R398" i="1"/>
  <c r="J398" i="1"/>
  <c r="R397" i="1"/>
  <c r="J397" i="1"/>
  <c r="R396" i="1"/>
  <c r="J396" i="1"/>
  <c r="R395" i="1"/>
  <c r="J395" i="1"/>
  <c r="R394" i="1"/>
  <c r="J394" i="1"/>
  <c r="R393" i="1"/>
  <c r="J393" i="1"/>
  <c r="R392" i="1"/>
  <c r="J392" i="1"/>
  <c r="R391" i="1"/>
  <c r="J391" i="1"/>
  <c r="R390" i="1"/>
  <c r="J390" i="1"/>
  <c r="R389" i="1"/>
  <c r="J389" i="1"/>
  <c r="R388" i="1"/>
  <c r="J388" i="1"/>
  <c r="R387" i="1"/>
  <c r="J387" i="1"/>
  <c r="R386" i="1"/>
  <c r="J386" i="1"/>
  <c r="R385" i="1"/>
  <c r="J385" i="1"/>
  <c r="R384" i="1"/>
  <c r="J384" i="1"/>
  <c r="R383" i="1"/>
  <c r="J383" i="1"/>
  <c r="R382" i="1"/>
  <c r="J382" i="1"/>
  <c r="R381" i="1"/>
  <c r="J381" i="1"/>
  <c r="R380" i="1"/>
  <c r="J380" i="1"/>
  <c r="R379" i="1"/>
  <c r="J379" i="1"/>
  <c r="R378" i="1"/>
  <c r="J378" i="1"/>
  <c r="R377" i="1"/>
  <c r="J377" i="1"/>
  <c r="R376" i="1"/>
  <c r="J376" i="1"/>
  <c r="R375" i="1"/>
  <c r="J375" i="1"/>
  <c r="R374" i="1"/>
  <c r="J374" i="1"/>
  <c r="R373" i="1"/>
  <c r="J373" i="1"/>
  <c r="R372" i="1"/>
  <c r="J372" i="1"/>
  <c r="R371" i="1"/>
  <c r="J371" i="1"/>
  <c r="R370" i="1"/>
  <c r="J370" i="1"/>
  <c r="R369" i="1"/>
  <c r="J369" i="1"/>
  <c r="R368" i="1"/>
  <c r="J368" i="1"/>
  <c r="R367" i="1"/>
  <c r="J367" i="1"/>
  <c r="R366" i="1"/>
  <c r="J366" i="1"/>
  <c r="R365" i="1"/>
  <c r="J365" i="1"/>
  <c r="R364" i="1"/>
  <c r="J364" i="1"/>
  <c r="R363" i="1"/>
  <c r="J363" i="1"/>
  <c r="R362" i="1"/>
  <c r="J362" i="1"/>
  <c r="R361" i="1"/>
  <c r="J361" i="1"/>
  <c r="R360" i="1"/>
  <c r="J360" i="1"/>
  <c r="R359" i="1"/>
  <c r="J359" i="1"/>
  <c r="R358" i="1"/>
  <c r="J358" i="1"/>
  <c r="R357" i="1"/>
  <c r="J357" i="1"/>
  <c r="R356" i="1"/>
  <c r="J356" i="1"/>
  <c r="R355" i="1"/>
  <c r="J355" i="1"/>
  <c r="R354" i="1"/>
  <c r="J354" i="1"/>
  <c r="R353" i="1"/>
  <c r="J353" i="1"/>
  <c r="R352" i="1"/>
  <c r="J352" i="1"/>
  <c r="R351" i="1"/>
  <c r="J351" i="1"/>
  <c r="R350" i="1"/>
  <c r="J350" i="1"/>
  <c r="R349" i="1"/>
  <c r="J349" i="1"/>
  <c r="R348" i="1"/>
  <c r="J348" i="1"/>
  <c r="R347" i="1"/>
  <c r="J347" i="1"/>
  <c r="R346" i="1"/>
  <c r="J346" i="1"/>
  <c r="R345" i="1"/>
  <c r="J345" i="1"/>
  <c r="R344" i="1"/>
  <c r="J344" i="1"/>
  <c r="R343" i="1"/>
  <c r="J343" i="1"/>
  <c r="R342" i="1"/>
  <c r="J342" i="1"/>
  <c r="R341" i="1"/>
  <c r="J341" i="1"/>
  <c r="R340" i="1"/>
  <c r="J340" i="1"/>
  <c r="R339" i="1"/>
  <c r="J339" i="1"/>
  <c r="R338" i="1"/>
  <c r="J338" i="1"/>
  <c r="R337" i="1"/>
  <c r="J337" i="1"/>
  <c r="R336" i="1"/>
  <c r="J336" i="1"/>
  <c r="R335" i="1"/>
  <c r="J335" i="1"/>
  <c r="R334" i="1"/>
  <c r="J334" i="1"/>
  <c r="R333" i="1"/>
  <c r="J333" i="1"/>
  <c r="R332" i="1"/>
  <c r="J332" i="1"/>
  <c r="R331" i="1"/>
  <c r="J331" i="1"/>
  <c r="R330" i="1"/>
  <c r="J330" i="1"/>
  <c r="R329" i="1"/>
  <c r="J329" i="1"/>
  <c r="R328" i="1"/>
  <c r="J328" i="1"/>
  <c r="R327" i="1"/>
  <c r="J327" i="1"/>
  <c r="R326" i="1"/>
  <c r="J326" i="1"/>
  <c r="R325" i="1"/>
  <c r="J325" i="1"/>
  <c r="R324" i="1"/>
  <c r="J324" i="1"/>
  <c r="R323" i="1"/>
  <c r="J323" i="1"/>
  <c r="R322" i="1"/>
  <c r="J322" i="1"/>
  <c r="R321" i="1"/>
  <c r="J321" i="1"/>
  <c r="R320" i="1"/>
  <c r="J320" i="1"/>
  <c r="R319" i="1"/>
  <c r="J319" i="1"/>
  <c r="R318" i="1"/>
  <c r="J318" i="1"/>
  <c r="R317" i="1"/>
  <c r="J317" i="1"/>
  <c r="R316" i="1"/>
  <c r="J316" i="1"/>
  <c r="R315" i="1"/>
  <c r="J315" i="1"/>
  <c r="R314" i="1"/>
  <c r="J314" i="1"/>
  <c r="R313" i="1"/>
  <c r="J313" i="1"/>
  <c r="R312" i="1"/>
  <c r="J312" i="1"/>
  <c r="R311" i="1"/>
  <c r="J311" i="1"/>
  <c r="R310" i="1"/>
  <c r="J310" i="1"/>
  <c r="R309" i="1"/>
  <c r="J309" i="1"/>
  <c r="R308" i="1"/>
  <c r="J308" i="1"/>
  <c r="R307" i="1"/>
  <c r="J307" i="1"/>
  <c r="R306" i="1"/>
  <c r="J306" i="1"/>
  <c r="R305" i="1"/>
  <c r="J305" i="1"/>
  <c r="R304" i="1"/>
  <c r="J304" i="1"/>
  <c r="R303" i="1"/>
  <c r="J303" i="1"/>
  <c r="R302" i="1"/>
  <c r="J302" i="1"/>
  <c r="R301" i="1"/>
  <c r="J301" i="1"/>
  <c r="R300" i="1"/>
  <c r="J300" i="1"/>
  <c r="R299" i="1"/>
  <c r="J299" i="1"/>
  <c r="R298" i="1"/>
  <c r="J298" i="1"/>
  <c r="R297" i="1"/>
  <c r="J297" i="1"/>
  <c r="R296" i="1"/>
  <c r="J296" i="1"/>
  <c r="R295" i="1"/>
  <c r="J295" i="1"/>
  <c r="R294" i="1"/>
  <c r="J294" i="1"/>
  <c r="R293" i="1"/>
  <c r="J293" i="1"/>
  <c r="R292" i="1"/>
  <c r="J292" i="1"/>
  <c r="R291" i="1"/>
  <c r="J291" i="1"/>
  <c r="R290" i="1"/>
  <c r="J290" i="1"/>
  <c r="R289" i="1"/>
  <c r="J289" i="1"/>
  <c r="R288" i="1"/>
  <c r="J288" i="1"/>
  <c r="R287" i="1"/>
  <c r="J287" i="1"/>
  <c r="R286" i="1"/>
  <c r="J286" i="1"/>
  <c r="R285" i="1"/>
  <c r="J285" i="1"/>
  <c r="R284" i="1"/>
  <c r="J284" i="1"/>
  <c r="R283" i="1"/>
  <c r="J283" i="1"/>
  <c r="R282" i="1"/>
  <c r="J282" i="1"/>
  <c r="R281" i="1"/>
  <c r="J281" i="1"/>
  <c r="R280" i="1"/>
  <c r="J280" i="1"/>
  <c r="R279" i="1"/>
  <c r="J279" i="1"/>
  <c r="R278" i="1"/>
  <c r="J278" i="1"/>
  <c r="R277" i="1"/>
  <c r="J277" i="1"/>
  <c r="R276" i="1"/>
  <c r="J276" i="1"/>
  <c r="R275" i="1"/>
  <c r="J275" i="1"/>
  <c r="R274" i="1"/>
  <c r="J274" i="1"/>
  <c r="R273" i="1"/>
  <c r="J273" i="1"/>
  <c r="R272" i="1"/>
  <c r="J272" i="1"/>
  <c r="R271" i="1"/>
  <c r="J271" i="1"/>
  <c r="R270" i="1"/>
  <c r="J270" i="1"/>
  <c r="R269" i="1"/>
  <c r="J269" i="1"/>
  <c r="R268" i="1"/>
  <c r="J268" i="1"/>
  <c r="R267" i="1"/>
  <c r="J267" i="1"/>
  <c r="R266" i="1"/>
  <c r="J266" i="1"/>
  <c r="R265" i="1"/>
  <c r="J265" i="1"/>
  <c r="R264" i="1"/>
  <c r="J264" i="1"/>
  <c r="R263" i="1"/>
  <c r="J263" i="1"/>
  <c r="R262" i="1"/>
  <c r="J262" i="1"/>
  <c r="R261" i="1"/>
  <c r="J261" i="1"/>
  <c r="R260" i="1"/>
  <c r="J260" i="1"/>
  <c r="R259" i="1"/>
  <c r="J259" i="1"/>
  <c r="R258" i="1"/>
  <c r="J258" i="1"/>
  <c r="R257" i="1"/>
  <c r="J257" i="1"/>
  <c r="R256" i="1"/>
  <c r="J256" i="1"/>
  <c r="R255" i="1"/>
  <c r="J255" i="1"/>
  <c r="R254" i="1"/>
  <c r="J254" i="1"/>
  <c r="R253" i="1"/>
  <c r="J253" i="1"/>
  <c r="R252" i="1"/>
  <c r="J252" i="1"/>
  <c r="R251" i="1"/>
  <c r="J251" i="1"/>
  <c r="R250" i="1"/>
  <c r="J250" i="1"/>
  <c r="R249" i="1"/>
  <c r="J249" i="1"/>
  <c r="R248" i="1"/>
  <c r="J248" i="1"/>
  <c r="R247" i="1"/>
  <c r="J247" i="1"/>
  <c r="R246" i="1"/>
  <c r="J246" i="1"/>
  <c r="R245" i="1"/>
  <c r="J245" i="1"/>
  <c r="R244" i="1"/>
  <c r="J244" i="1"/>
  <c r="R243" i="1"/>
  <c r="J243" i="1"/>
  <c r="R242" i="1"/>
  <c r="J242" i="1"/>
  <c r="R241" i="1"/>
  <c r="J241" i="1"/>
  <c r="R240" i="1"/>
  <c r="J240" i="1"/>
  <c r="R239" i="1"/>
  <c r="J239" i="1"/>
  <c r="R238" i="1"/>
  <c r="J238" i="1"/>
  <c r="R237" i="1"/>
  <c r="J237" i="1"/>
  <c r="R236" i="1"/>
  <c r="J236" i="1"/>
  <c r="R235" i="1"/>
  <c r="J235" i="1"/>
  <c r="R234" i="1"/>
  <c r="J234" i="1"/>
  <c r="R233" i="1"/>
  <c r="J233" i="1"/>
  <c r="R232" i="1"/>
  <c r="J232" i="1"/>
  <c r="R231" i="1"/>
  <c r="J231" i="1"/>
  <c r="R230" i="1"/>
  <c r="J230" i="1"/>
  <c r="R229" i="1"/>
  <c r="J229" i="1"/>
  <c r="R228" i="1"/>
  <c r="J228" i="1"/>
  <c r="R227" i="1"/>
  <c r="J227" i="1"/>
  <c r="R226" i="1"/>
  <c r="J226" i="1"/>
  <c r="R225" i="1"/>
  <c r="J225" i="1"/>
  <c r="R224" i="1"/>
  <c r="J224" i="1"/>
  <c r="R223" i="1"/>
  <c r="J223" i="1"/>
  <c r="R222" i="1"/>
  <c r="J222" i="1"/>
  <c r="R221" i="1"/>
  <c r="J221" i="1"/>
  <c r="R220" i="1"/>
  <c r="J220" i="1"/>
  <c r="R219" i="1"/>
  <c r="J219" i="1"/>
  <c r="R218" i="1"/>
  <c r="J218" i="1"/>
  <c r="R217" i="1"/>
  <c r="J217" i="1"/>
  <c r="R216" i="1"/>
  <c r="J216" i="1"/>
  <c r="R215" i="1"/>
  <c r="J215" i="1"/>
  <c r="R214" i="1"/>
  <c r="J214" i="1"/>
  <c r="R213" i="1"/>
  <c r="J213" i="1"/>
  <c r="R212" i="1"/>
  <c r="J212" i="1"/>
  <c r="R211" i="1"/>
  <c r="J211" i="1"/>
  <c r="R210" i="1"/>
  <c r="J210" i="1"/>
  <c r="R209" i="1"/>
  <c r="J209" i="1"/>
  <c r="R208" i="1"/>
  <c r="J208" i="1"/>
  <c r="R207" i="1"/>
  <c r="J207" i="1"/>
  <c r="R206" i="1"/>
  <c r="J206" i="1"/>
  <c r="R205" i="1"/>
  <c r="J205" i="1"/>
  <c r="R204" i="1"/>
  <c r="J204" i="1"/>
  <c r="R203" i="1"/>
  <c r="J203" i="1"/>
  <c r="R202" i="1"/>
  <c r="J202" i="1"/>
  <c r="R201" i="1"/>
  <c r="J201" i="1"/>
  <c r="R200" i="1"/>
  <c r="J200" i="1"/>
  <c r="R199" i="1"/>
  <c r="J199" i="1"/>
  <c r="R198" i="1"/>
  <c r="J198" i="1"/>
  <c r="R197" i="1"/>
  <c r="J197" i="1"/>
  <c r="R196" i="1"/>
  <c r="J196" i="1"/>
  <c r="R195" i="1"/>
  <c r="J195" i="1"/>
  <c r="R194" i="1"/>
  <c r="J194" i="1"/>
  <c r="R193" i="1"/>
  <c r="J193" i="1"/>
  <c r="R192" i="1"/>
  <c r="J192" i="1"/>
  <c r="R191" i="1"/>
  <c r="J191" i="1"/>
  <c r="R190" i="1"/>
  <c r="J190" i="1"/>
  <c r="R189" i="1"/>
  <c r="J189" i="1"/>
  <c r="R188" i="1"/>
  <c r="J188" i="1"/>
  <c r="R187" i="1"/>
  <c r="J187" i="1"/>
  <c r="R186" i="1"/>
  <c r="J186" i="1"/>
  <c r="R185" i="1"/>
  <c r="J185" i="1"/>
  <c r="R184" i="1"/>
  <c r="J184" i="1"/>
  <c r="R183" i="1"/>
  <c r="J183" i="1"/>
  <c r="R182" i="1"/>
  <c r="J182" i="1"/>
  <c r="R181" i="1"/>
  <c r="J181" i="1"/>
  <c r="R180" i="1"/>
  <c r="J180" i="1"/>
  <c r="R179" i="1"/>
  <c r="J179" i="1"/>
  <c r="R178" i="1"/>
  <c r="J178" i="1"/>
  <c r="R177" i="1"/>
  <c r="J177" i="1"/>
  <c r="R176" i="1"/>
  <c r="J176" i="1"/>
  <c r="R175" i="1"/>
  <c r="J175" i="1"/>
  <c r="R174" i="1"/>
  <c r="J174" i="1"/>
  <c r="R173" i="1"/>
  <c r="J173" i="1"/>
  <c r="R172" i="1"/>
  <c r="J172" i="1"/>
  <c r="R171" i="1"/>
  <c r="J171" i="1"/>
  <c r="R170" i="1"/>
  <c r="J170" i="1"/>
  <c r="R169" i="1"/>
  <c r="J169" i="1"/>
  <c r="R168" i="1"/>
  <c r="J168" i="1"/>
  <c r="R167" i="1"/>
  <c r="J167" i="1"/>
  <c r="R166" i="1"/>
  <c r="J166" i="1"/>
  <c r="R165" i="1"/>
  <c r="J165" i="1"/>
  <c r="R164" i="1"/>
  <c r="J164" i="1"/>
  <c r="R163" i="1"/>
  <c r="J163" i="1"/>
  <c r="R162" i="1"/>
  <c r="J162" i="1"/>
  <c r="R161" i="1"/>
  <c r="J161" i="1"/>
  <c r="R160" i="1"/>
  <c r="J160" i="1"/>
  <c r="R159" i="1"/>
  <c r="J159" i="1"/>
  <c r="R158" i="1"/>
  <c r="J158" i="1"/>
  <c r="R157" i="1"/>
  <c r="J157" i="1"/>
  <c r="R156" i="1"/>
  <c r="J156" i="1"/>
  <c r="R155" i="1"/>
  <c r="J155" i="1"/>
  <c r="R154" i="1"/>
  <c r="J154" i="1"/>
  <c r="R153" i="1"/>
  <c r="J153" i="1"/>
  <c r="R152" i="1"/>
  <c r="J152" i="1"/>
  <c r="R151" i="1"/>
  <c r="J151" i="1"/>
  <c r="R150" i="1"/>
  <c r="J150" i="1"/>
  <c r="R149" i="1"/>
  <c r="J149" i="1"/>
  <c r="R148" i="1"/>
  <c r="J148" i="1"/>
  <c r="R147" i="1"/>
  <c r="J147" i="1"/>
  <c r="R146" i="1"/>
  <c r="J146" i="1"/>
  <c r="R145" i="1"/>
  <c r="J145" i="1"/>
  <c r="R144" i="1"/>
  <c r="J144" i="1"/>
  <c r="R143" i="1"/>
  <c r="J143" i="1"/>
  <c r="R142" i="1"/>
  <c r="J142" i="1"/>
  <c r="R141" i="1"/>
  <c r="J141" i="1"/>
  <c r="R140" i="1"/>
  <c r="J140" i="1"/>
  <c r="R139" i="1"/>
  <c r="J139" i="1"/>
  <c r="R138" i="1"/>
  <c r="J138" i="1"/>
  <c r="R137" i="1"/>
  <c r="J137" i="1"/>
  <c r="R136" i="1"/>
  <c r="J136" i="1"/>
  <c r="R135" i="1"/>
  <c r="J135" i="1"/>
  <c r="R134" i="1"/>
  <c r="J134" i="1"/>
  <c r="R133" i="1"/>
  <c r="J133" i="1"/>
  <c r="R132" i="1"/>
  <c r="J132" i="1"/>
  <c r="R131" i="1"/>
  <c r="J131" i="1"/>
  <c r="R130" i="1"/>
  <c r="J130" i="1"/>
  <c r="R129" i="1"/>
  <c r="J129" i="1"/>
  <c r="R128" i="1"/>
  <c r="J128" i="1"/>
  <c r="R127" i="1"/>
  <c r="J127" i="1"/>
  <c r="R126" i="1"/>
  <c r="J126" i="1"/>
  <c r="R125" i="1"/>
  <c r="J125" i="1"/>
  <c r="R124" i="1"/>
  <c r="J124" i="1"/>
  <c r="R123" i="1"/>
  <c r="J123" i="1"/>
  <c r="R122" i="1"/>
  <c r="J122" i="1"/>
  <c r="R121" i="1"/>
  <c r="J121" i="1"/>
  <c r="R120" i="1"/>
  <c r="J120" i="1"/>
  <c r="R119" i="1"/>
  <c r="J119" i="1"/>
  <c r="R118" i="1"/>
  <c r="J118" i="1"/>
  <c r="R117" i="1"/>
  <c r="J117" i="1"/>
  <c r="R116" i="1"/>
  <c r="J116" i="1"/>
  <c r="R115" i="1"/>
  <c r="J115" i="1"/>
  <c r="R114" i="1"/>
  <c r="J114" i="1"/>
  <c r="R113" i="1"/>
  <c r="J113" i="1"/>
  <c r="R112" i="1"/>
  <c r="J112" i="1"/>
  <c r="R111" i="1"/>
  <c r="J111" i="1"/>
  <c r="R110" i="1"/>
  <c r="J110" i="1"/>
  <c r="R109" i="1"/>
  <c r="J109" i="1"/>
  <c r="R108" i="1"/>
  <c r="J108" i="1"/>
  <c r="R107" i="1"/>
  <c r="J107" i="1"/>
  <c r="R106" i="1"/>
  <c r="J106" i="1"/>
  <c r="R105" i="1"/>
  <c r="J105" i="1"/>
  <c r="R104" i="1"/>
  <c r="J104" i="1"/>
  <c r="R103" i="1"/>
  <c r="J103" i="1"/>
  <c r="R102" i="1"/>
  <c r="J102" i="1"/>
  <c r="R101" i="1"/>
  <c r="J101" i="1"/>
  <c r="R100" i="1"/>
  <c r="J100" i="1"/>
  <c r="R99" i="1"/>
  <c r="J99" i="1"/>
  <c r="R98" i="1"/>
  <c r="J98" i="1"/>
  <c r="R97" i="1"/>
  <c r="J97" i="1"/>
  <c r="R96" i="1"/>
  <c r="J96" i="1"/>
  <c r="R95" i="1"/>
  <c r="J95" i="1"/>
  <c r="R94" i="1"/>
  <c r="J94" i="1"/>
  <c r="R93" i="1"/>
  <c r="J93" i="1"/>
  <c r="R92" i="1"/>
  <c r="J92" i="1"/>
  <c r="R91" i="1"/>
  <c r="J91" i="1"/>
  <c r="R90" i="1"/>
  <c r="J90" i="1"/>
  <c r="R89" i="1"/>
  <c r="J89" i="1"/>
  <c r="R88" i="1"/>
  <c r="J88" i="1"/>
  <c r="R87" i="1"/>
  <c r="J87" i="1"/>
  <c r="R86" i="1"/>
  <c r="J86" i="1"/>
  <c r="R85" i="1"/>
  <c r="J85" i="1"/>
  <c r="R84" i="1"/>
  <c r="J84" i="1"/>
  <c r="R83" i="1"/>
  <c r="J83" i="1"/>
  <c r="R82" i="1"/>
  <c r="J82" i="1"/>
  <c r="R81" i="1"/>
  <c r="J81" i="1"/>
  <c r="R80" i="1"/>
  <c r="J80" i="1"/>
  <c r="R79" i="1"/>
  <c r="J79" i="1"/>
  <c r="R78" i="1"/>
  <c r="J78" i="1"/>
  <c r="R77" i="1"/>
  <c r="J77" i="1"/>
  <c r="R76" i="1"/>
  <c r="J76" i="1"/>
  <c r="R75" i="1"/>
  <c r="J75" i="1"/>
  <c r="R74" i="1"/>
  <c r="J74" i="1"/>
  <c r="R73" i="1"/>
  <c r="J73" i="1"/>
  <c r="R72" i="1"/>
  <c r="J72" i="1"/>
  <c r="R71" i="1"/>
  <c r="J71" i="1"/>
  <c r="R70" i="1"/>
  <c r="J70" i="1"/>
  <c r="R69" i="1"/>
  <c r="J69" i="1"/>
  <c r="R68" i="1"/>
  <c r="J68" i="1"/>
  <c r="R67" i="1"/>
  <c r="J67" i="1"/>
  <c r="R66" i="1"/>
  <c r="J66" i="1"/>
  <c r="R65" i="1"/>
  <c r="J65" i="1"/>
  <c r="R64" i="1"/>
  <c r="J64" i="1"/>
  <c r="R63" i="1"/>
  <c r="J63" i="1"/>
  <c r="R62" i="1"/>
  <c r="J62" i="1"/>
  <c r="R61" i="1"/>
  <c r="J61" i="1"/>
  <c r="R60" i="1"/>
  <c r="J60" i="1"/>
  <c r="R59" i="1"/>
  <c r="J59" i="1"/>
  <c r="R58" i="1"/>
  <c r="J58" i="1"/>
  <c r="R57" i="1"/>
  <c r="J57" i="1"/>
  <c r="R56" i="1"/>
  <c r="J56" i="1"/>
  <c r="R55" i="1"/>
  <c r="J55" i="1"/>
  <c r="J62" i="3"/>
  <c r="J61" i="3"/>
  <c r="J60" i="3"/>
  <c r="J59" i="3"/>
  <c r="J58" i="3"/>
  <c r="J57" i="3"/>
  <c r="J56" i="3"/>
  <c r="J55" i="3"/>
  <c r="J54" i="3"/>
  <c r="J53" i="3"/>
  <c r="J52" i="3"/>
  <c r="J51" i="3"/>
  <c r="J46" i="3"/>
  <c r="J45" i="3"/>
  <c r="J44" i="3"/>
  <c r="J43" i="3"/>
  <c r="J42" i="3"/>
  <c r="J41" i="3"/>
  <c r="J40" i="3"/>
  <c r="J39" i="3"/>
  <c r="J38" i="3"/>
  <c r="J37" i="3"/>
  <c r="J36" i="3"/>
  <c r="J35" i="3"/>
  <c r="J30" i="3"/>
  <c r="J29" i="3"/>
  <c r="J28" i="3"/>
  <c r="J27" i="3"/>
  <c r="J26" i="3"/>
  <c r="J25" i="3"/>
  <c r="J24" i="3"/>
  <c r="J23" i="3"/>
  <c r="J22" i="3"/>
  <c r="J21" i="3"/>
  <c r="J20" i="3"/>
  <c r="J19" i="3"/>
  <c r="J70" i="3"/>
  <c r="J69" i="3"/>
  <c r="J68" i="3"/>
  <c r="J67" i="3"/>
  <c r="J66" i="3"/>
  <c r="J65" i="3"/>
  <c r="J64" i="3"/>
  <c r="J63" i="3"/>
  <c r="J34" i="3"/>
  <c r="J33" i="3"/>
  <c r="J32" i="3"/>
  <c r="J31" i="3"/>
  <c r="Z82" i="3"/>
  <c r="Z81" i="3"/>
  <c r="Z80" i="3"/>
  <c r="Z79" i="3"/>
  <c r="AA79" i="3" s="1"/>
  <c r="Z78" i="3"/>
  <c r="Z77" i="3"/>
  <c r="Z76" i="3"/>
  <c r="Z75" i="3"/>
  <c r="AA75" i="3" s="1"/>
  <c r="Z74" i="3"/>
  <c r="Z73" i="3"/>
  <c r="Z72" i="3"/>
  <c r="Z71" i="3"/>
  <c r="AA71" i="3" s="1"/>
  <c r="Z18" i="3"/>
  <c r="Z17" i="3"/>
  <c r="Z16" i="3"/>
  <c r="Z15" i="3"/>
  <c r="AA15" i="3"/>
  <c r="Z14" i="3"/>
  <c r="Z13" i="3"/>
  <c r="Z12" i="3"/>
  <c r="AA11" i="3"/>
  <c r="Z11" i="3"/>
  <c r="R82" i="3"/>
  <c r="R81" i="3"/>
  <c r="R80" i="3"/>
  <c r="R79" i="3"/>
  <c r="R78" i="3"/>
  <c r="R77" i="3"/>
  <c r="R76" i="3"/>
  <c r="R75" i="3"/>
  <c r="R74" i="3"/>
  <c r="R73" i="3"/>
  <c r="R72" i="3"/>
  <c r="R71" i="3"/>
  <c r="J82" i="3"/>
  <c r="J81" i="3"/>
  <c r="J80" i="3"/>
  <c r="J79" i="3"/>
  <c r="J78" i="3"/>
  <c r="J77" i="3"/>
  <c r="J76" i="3"/>
  <c r="J75" i="3"/>
  <c r="J74" i="3"/>
  <c r="J73" i="3"/>
  <c r="J72" i="3"/>
  <c r="J71" i="3"/>
  <c r="Z98" i="3"/>
  <c r="Z97" i="3"/>
  <c r="Z96" i="3"/>
  <c r="Z95" i="3"/>
  <c r="AA95" i="3" s="1"/>
  <c r="Z94" i="3"/>
  <c r="Z93" i="3"/>
  <c r="Z92" i="3"/>
  <c r="AA91" i="3"/>
  <c r="Z91" i="3"/>
  <c r="Z90" i="3"/>
  <c r="Z89" i="3"/>
  <c r="Z88" i="3"/>
  <c r="Z87" i="3"/>
  <c r="Z86" i="3"/>
  <c r="Z85" i="3"/>
  <c r="Z84" i="3"/>
  <c r="Z83" i="3"/>
  <c r="Z70" i="3"/>
  <c r="Z69" i="3"/>
  <c r="Z68" i="3"/>
  <c r="Z67" i="3"/>
  <c r="AA67" i="3" s="1"/>
  <c r="Z66" i="3"/>
  <c r="Z65" i="3"/>
  <c r="Z64" i="3"/>
  <c r="Z63" i="3"/>
  <c r="AA63" i="3" s="1"/>
  <c r="Z62" i="3"/>
  <c r="Z61" i="3"/>
  <c r="Z60" i="3"/>
  <c r="AA59" i="3" s="1"/>
  <c r="Z59" i="3"/>
  <c r="Z58" i="3"/>
  <c r="Z57" i="3"/>
  <c r="AA55" i="3" s="1"/>
  <c r="Z56" i="3"/>
  <c r="Z55" i="3"/>
  <c r="AC57" i="5"/>
  <c r="AC57" i="7"/>
  <c r="Z54" i="5"/>
  <c r="Z53" i="5"/>
  <c r="Z52" i="5"/>
  <c r="Z51" i="5"/>
  <c r="AA51" i="5" s="1"/>
  <c r="Z50" i="5"/>
  <c r="Z49" i="5"/>
  <c r="Z48" i="5"/>
  <c r="Z47" i="5"/>
  <c r="AA47" i="5" s="1"/>
  <c r="Z46" i="5"/>
  <c r="Z45" i="5"/>
  <c r="Z44" i="5"/>
  <c r="Z43" i="5"/>
  <c r="Z42" i="5"/>
  <c r="Z41" i="5"/>
  <c r="Z40" i="5"/>
  <c r="Z39" i="5"/>
  <c r="Z38" i="5"/>
  <c r="Z37" i="5"/>
  <c r="Z36" i="5"/>
  <c r="Z35" i="5"/>
  <c r="AA35" i="5" s="1"/>
  <c r="Z34" i="5"/>
  <c r="Z33" i="5"/>
  <c r="Z32" i="5"/>
  <c r="Z31" i="5"/>
  <c r="AA31" i="5"/>
  <c r="Z30" i="5"/>
  <c r="Z29" i="5"/>
  <c r="Z28" i="5"/>
  <c r="Z27" i="5"/>
  <c r="AA27" i="5" s="1"/>
  <c r="Z26" i="5"/>
  <c r="Z25" i="5"/>
  <c r="Z24" i="5"/>
  <c r="Z23" i="5"/>
  <c r="AA23" i="5"/>
  <c r="Z22" i="5"/>
  <c r="Z21" i="5"/>
  <c r="Z20" i="5"/>
  <c r="Z19" i="5"/>
  <c r="AA19" i="5" s="1"/>
  <c r="Z54" i="7"/>
  <c r="Z53" i="7"/>
  <c r="Z52" i="7"/>
  <c r="Z51" i="7"/>
  <c r="AA51" i="7"/>
  <c r="Z50" i="7"/>
  <c r="Z49" i="7"/>
  <c r="Z48" i="7"/>
  <c r="Z47" i="7"/>
  <c r="AA47" i="7" s="1"/>
  <c r="Z46" i="7"/>
  <c r="Z45" i="7"/>
  <c r="Z44" i="7"/>
  <c r="Z43" i="7"/>
  <c r="AA43" i="7" s="1"/>
  <c r="Z42" i="7"/>
  <c r="Z41" i="7"/>
  <c r="Z40" i="7"/>
  <c r="Z39" i="7"/>
  <c r="AA39" i="7"/>
  <c r="AB59" i="7" s="1"/>
  <c r="Z38" i="7"/>
  <c r="Z37" i="7"/>
  <c r="Z36" i="7"/>
  <c r="Z35" i="7"/>
  <c r="AA35" i="7"/>
  <c r="Z34" i="7"/>
  <c r="Z33" i="7"/>
  <c r="Z32" i="7"/>
  <c r="Z31" i="7"/>
  <c r="Z30" i="7"/>
  <c r="Z29" i="7"/>
  <c r="Z28" i="7"/>
  <c r="Z27" i="7"/>
  <c r="AA27" i="7" s="1"/>
  <c r="Z10" i="3"/>
  <c r="Z9" i="3"/>
  <c r="AA7" i="3"/>
  <c r="Z8" i="3"/>
  <c r="Z7" i="3"/>
  <c r="Z38" i="3"/>
  <c r="Z37" i="3"/>
  <c r="Z36" i="3"/>
  <c r="Z35" i="3"/>
  <c r="Z34" i="3"/>
  <c r="Z33" i="3"/>
  <c r="Z32" i="3"/>
  <c r="Z31" i="3"/>
  <c r="AA31" i="3"/>
  <c r="Z30" i="3"/>
  <c r="Z29" i="3"/>
  <c r="Z28" i="3"/>
  <c r="Z27" i="3"/>
  <c r="AA27" i="3" s="1"/>
  <c r="Z22" i="3"/>
  <c r="Z22" i="7"/>
  <c r="Z21" i="7"/>
  <c r="Z20" i="7"/>
  <c r="Z19" i="7"/>
  <c r="AA19" i="7" s="1"/>
  <c r="Z26" i="7"/>
  <c r="Z25" i="7"/>
  <c r="Z24" i="7"/>
  <c r="Z23" i="7"/>
  <c r="AA23" i="7"/>
  <c r="Z54" i="3"/>
  <c r="Z53" i="3"/>
  <c r="Z52" i="3"/>
  <c r="AA51" i="3"/>
  <c r="Z51" i="3"/>
  <c r="Z50" i="3"/>
  <c r="Z49" i="3"/>
  <c r="Z48" i="3"/>
  <c r="Z47" i="3"/>
  <c r="Z46" i="3"/>
  <c r="Z45" i="3"/>
  <c r="Z44" i="3"/>
  <c r="AA43" i="3" s="1"/>
  <c r="Z43" i="3"/>
  <c r="Z42" i="3"/>
  <c r="Z41" i="3"/>
  <c r="Z40" i="3"/>
  <c r="Z39" i="3"/>
  <c r="Z26" i="3"/>
  <c r="Z25" i="3"/>
  <c r="Z24" i="3"/>
  <c r="AA23" i="3" s="1"/>
  <c r="Z23" i="3"/>
  <c r="Z21" i="3"/>
  <c r="Z20" i="3"/>
  <c r="Z19" i="3"/>
  <c r="Z3" i="3"/>
  <c r="Z4" i="3"/>
  <c r="Z5" i="3"/>
  <c r="AA3" i="3" s="1"/>
  <c r="Z6" i="3"/>
  <c r="R3" i="4"/>
  <c r="R4" i="4"/>
  <c r="R5" i="4"/>
  <c r="R6" i="4"/>
  <c r="R7" i="4"/>
  <c r="R8" i="4"/>
  <c r="R9" i="4"/>
  <c r="R10" i="4"/>
  <c r="R11" i="4"/>
  <c r="R12" i="4"/>
  <c r="R13" i="4"/>
  <c r="R14" i="4"/>
  <c r="R15" i="4"/>
  <c r="R16" i="4"/>
  <c r="R17" i="4"/>
  <c r="R18" i="4"/>
  <c r="R19" i="4"/>
  <c r="R20" i="4"/>
  <c r="R21" i="4"/>
  <c r="R22" i="4"/>
  <c r="R23" i="4"/>
  <c r="R24" i="4"/>
  <c r="R25" i="4"/>
  <c r="R26" i="4"/>
  <c r="R27" i="4"/>
  <c r="R28" i="4"/>
  <c r="R29" i="4"/>
  <c r="R30" i="4"/>
  <c r="R31" i="4"/>
  <c r="R32" i="4"/>
  <c r="R33" i="4"/>
  <c r="R34" i="4"/>
  <c r="R35" i="4"/>
  <c r="R36" i="4"/>
  <c r="R37" i="4"/>
  <c r="R38" i="4"/>
  <c r="R39" i="4"/>
  <c r="R40" i="4"/>
  <c r="R41" i="4"/>
  <c r="R42" i="4"/>
  <c r="R43" i="4"/>
  <c r="R44" i="4"/>
  <c r="R45" i="4"/>
  <c r="R46" i="4"/>
  <c r="R47" i="4"/>
  <c r="R48" i="4"/>
  <c r="R49" i="4"/>
  <c r="R50" i="4"/>
  <c r="R51" i="4"/>
  <c r="R52" i="4"/>
  <c r="R53" i="4"/>
  <c r="R54" i="4"/>
  <c r="R55" i="4"/>
  <c r="R56" i="4"/>
  <c r="R57" i="4"/>
  <c r="R58" i="4"/>
  <c r="R59" i="4"/>
  <c r="R60" i="4"/>
  <c r="R61" i="4"/>
  <c r="R62" i="4"/>
  <c r="R63" i="4"/>
  <c r="R64" i="4"/>
  <c r="R65" i="4"/>
  <c r="R66" i="4"/>
  <c r="R67" i="4"/>
  <c r="R68" i="4"/>
  <c r="R69" i="4"/>
  <c r="R70" i="4"/>
  <c r="Q113" i="4"/>
  <c r="J3" i="4"/>
  <c r="J4" i="4"/>
  <c r="J5" i="4"/>
  <c r="J6" i="4"/>
  <c r="J7" i="4"/>
  <c r="J8" i="4"/>
  <c r="J9" i="4"/>
  <c r="J10" i="4"/>
  <c r="J11" i="4"/>
  <c r="J12" i="4"/>
  <c r="J13" i="4"/>
  <c r="J14" i="4"/>
  <c r="J15" i="4"/>
  <c r="J16" i="4"/>
  <c r="J17" i="4"/>
  <c r="J18" i="4"/>
  <c r="J19" i="4"/>
  <c r="J20" i="4"/>
  <c r="J21" i="4"/>
  <c r="J22" i="4"/>
  <c r="J23" i="4"/>
  <c r="J24" i="4"/>
  <c r="J25" i="4"/>
  <c r="J26" i="4"/>
  <c r="J27" i="4"/>
  <c r="J28" i="4"/>
  <c r="J29" i="4"/>
  <c r="J30" i="4"/>
  <c r="J31" i="4"/>
  <c r="J32" i="4"/>
  <c r="J33" i="4"/>
  <c r="J34" i="4"/>
  <c r="J35" i="4"/>
  <c r="J36" i="4"/>
  <c r="J37" i="4"/>
  <c r="J38" i="4"/>
  <c r="J39" i="4"/>
  <c r="J40" i="4"/>
  <c r="J41" i="4"/>
  <c r="J42" i="4"/>
  <c r="J43" i="4"/>
  <c r="J44" i="4"/>
  <c r="J45" i="4"/>
  <c r="J46" i="4"/>
  <c r="J47" i="4"/>
  <c r="J48" i="4"/>
  <c r="J49" i="4"/>
  <c r="J50" i="4"/>
  <c r="J51" i="4"/>
  <c r="J52" i="4"/>
  <c r="J53" i="4"/>
  <c r="J54" i="4"/>
  <c r="J55" i="4"/>
  <c r="J56" i="4"/>
  <c r="J57" i="4"/>
  <c r="J58" i="4"/>
  <c r="J59" i="4"/>
  <c r="J60" i="4"/>
  <c r="J61" i="4"/>
  <c r="J62" i="4"/>
  <c r="J63" i="4"/>
  <c r="J64" i="4"/>
  <c r="J65" i="4"/>
  <c r="J66" i="4"/>
  <c r="J67" i="4"/>
  <c r="J68" i="4"/>
  <c r="J69" i="4"/>
  <c r="J70" i="4"/>
  <c r="I113" i="4"/>
  <c r="R3" i="2"/>
  <c r="R4" i="2"/>
  <c r="R5" i="2"/>
  <c r="R6" i="2"/>
  <c r="R7" i="2"/>
  <c r="R8" i="2"/>
  <c r="R9" i="2"/>
  <c r="R10" i="2"/>
  <c r="R11" i="2"/>
  <c r="R12" i="2"/>
  <c r="R13" i="2"/>
  <c r="R14" i="2"/>
  <c r="R15" i="2"/>
  <c r="R16" i="2"/>
  <c r="R17" i="2"/>
  <c r="R18" i="2"/>
  <c r="R19" i="2"/>
  <c r="R20" i="2"/>
  <c r="R21" i="2"/>
  <c r="R22" i="2"/>
  <c r="R23" i="2"/>
  <c r="R24" i="2"/>
  <c r="R25" i="2"/>
  <c r="R26" i="2"/>
  <c r="R27" i="2"/>
  <c r="R28" i="2"/>
  <c r="R29" i="2"/>
  <c r="R30" i="2"/>
  <c r="R31" i="2"/>
  <c r="R32" i="2"/>
  <c r="R33" i="2"/>
  <c r="R34" i="2"/>
  <c r="R35" i="2"/>
  <c r="R36" i="2"/>
  <c r="R37" i="2"/>
  <c r="R38" i="2"/>
  <c r="R39" i="2"/>
  <c r="R40" i="2"/>
  <c r="R41" i="2"/>
  <c r="R42" i="2"/>
  <c r="R43" i="2"/>
  <c r="R44" i="2"/>
  <c r="R45" i="2"/>
  <c r="R46" i="2"/>
  <c r="R47" i="2"/>
  <c r="R48" i="2"/>
  <c r="R49" i="2"/>
  <c r="R50" i="2"/>
  <c r="R51" i="2"/>
  <c r="R52" i="2"/>
  <c r="R53" i="2"/>
  <c r="R54" i="2"/>
  <c r="R55" i="2"/>
  <c r="R56" i="2"/>
  <c r="R57" i="2"/>
  <c r="R58" i="2"/>
  <c r="R59" i="2"/>
  <c r="R60" i="2"/>
  <c r="R61" i="2"/>
  <c r="R62" i="2"/>
  <c r="R63" i="2"/>
  <c r="R64" i="2"/>
  <c r="R65" i="2"/>
  <c r="R66" i="2"/>
  <c r="R67" i="2"/>
  <c r="R68" i="2"/>
  <c r="R69" i="2"/>
  <c r="R70" i="2"/>
  <c r="R71" i="2"/>
  <c r="R72" i="2"/>
  <c r="R73" i="2"/>
  <c r="R74" i="2"/>
  <c r="R75" i="2"/>
  <c r="R76" i="2"/>
  <c r="R77" i="2"/>
  <c r="R78" i="2"/>
  <c r="R79" i="2"/>
  <c r="R80" i="2"/>
  <c r="R81" i="2"/>
  <c r="R82" i="2"/>
  <c r="Q113" i="2"/>
  <c r="Q114" i="2" s="1"/>
  <c r="F13" i="9" s="1"/>
  <c r="J3" i="2"/>
  <c r="J4" i="2"/>
  <c r="J5" i="2"/>
  <c r="J6" i="2"/>
  <c r="J7" i="2"/>
  <c r="J8" i="2"/>
  <c r="J9" i="2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J27" i="2"/>
  <c r="J28" i="2"/>
  <c r="J29" i="2"/>
  <c r="J30" i="2"/>
  <c r="J31" i="2"/>
  <c r="J32" i="2"/>
  <c r="J33" i="2"/>
  <c r="J34" i="2"/>
  <c r="J35" i="2"/>
  <c r="J36" i="2"/>
  <c r="J37" i="2"/>
  <c r="J38" i="2"/>
  <c r="J39" i="2"/>
  <c r="J40" i="2"/>
  <c r="J41" i="2"/>
  <c r="J42" i="2"/>
  <c r="J43" i="2"/>
  <c r="J44" i="2"/>
  <c r="J45" i="2"/>
  <c r="J46" i="2"/>
  <c r="J47" i="2"/>
  <c r="J48" i="2"/>
  <c r="J49" i="2"/>
  <c r="J50" i="2"/>
  <c r="J51" i="2"/>
  <c r="J52" i="2"/>
  <c r="J53" i="2"/>
  <c r="J54" i="2"/>
  <c r="J55" i="2"/>
  <c r="J56" i="2"/>
  <c r="J57" i="2"/>
  <c r="J58" i="2"/>
  <c r="J59" i="2"/>
  <c r="J60" i="2"/>
  <c r="J61" i="2"/>
  <c r="J62" i="2"/>
  <c r="J63" i="2"/>
  <c r="J64" i="2"/>
  <c r="J65" i="2"/>
  <c r="J66" i="2"/>
  <c r="J67" i="2"/>
  <c r="J68" i="2"/>
  <c r="J69" i="2"/>
  <c r="J70" i="2"/>
  <c r="J71" i="2"/>
  <c r="J72" i="2"/>
  <c r="J73" i="2"/>
  <c r="J74" i="2"/>
  <c r="J75" i="2"/>
  <c r="J76" i="2"/>
  <c r="J77" i="2"/>
  <c r="J78" i="2"/>
  <c r="J79" i="2"/>
  <c r="J80" i="2"/>
  <c r="J81" i="2"/>
  <c r="J82" i="2"/>
  <c r="I113" i="2"/>
  <c r="R3" i="3"/>
  <c r="R4" i="3"/>
  <c r="R5" i="3"/>
  <c r="R6" i="3"/>
  <c r="R7" i="3"/>
  <c r="R8" i="3"/>
  <c r="R9" i="3"/>
  <c r="R10" i="3"/>
  <c r="R11" i="3"/>
  <c r="R12" i="3"/>
  <c r="R13" i="3"/>
  <c r="R14" i="3"/>
  <c r="R15" i="3"/>
  <c r="R16" i="3"/>
  <c r="R17" i="3"/>
  <c r="R18" i="3"/>
  <c r="R19" i="3"/>
  <c r="R20" i="3"/>
  <c r="R21" i="3"/>
  <c r="R22" i="3"/>
  <c r="R23" i="3"/>
  <c r="R24" i="3"/>
  <c r="R25" i="3"/>
  <c r="R26" i="3"/>
  <c r="R27" i="3"/>
  <c r="R28" i="3"/>
  <c r="R29" i="3"/>
  <c r="R30" i="3"/>
  <c r="R31" i="3"/>
  <c r="R32" i="3"/>
  <c r="R33" i="3"/>
  <c r="R34" i="3"/>
  <c r="R35" i="3"/>
  <c r="R36" i="3"/>
  <c r="R37" i="3"/>
  <c r="R38" i="3"/>
  <c r="R39" i="3"/>
  <c r="R40" i="3"/>
  <c r="R41" i="3"/>
  <c r="R42" i="3"/>
  <c r="R43" i="3"/>
  <c r="R44" i="3"/>
  <c r="R45" i="3"/>
  <c r="R46" i="3"/>
  <c r="R47" i="3"/>
  <c r="R48" i="3"/>
  <c r="R49" i="3"/>
  <c r="R50" i="3"/>
  <c r="R51" i="3"/>
  <c r="R52" i="3"/>
  <c r="R53" i="3"/>
  <c r="R54" i="3"/>
  <c r="R55" i="3"/>
  <c r="R56" i="3"/>
  <c r="R57" i="3"/>
  <c r="R58" i="3"/>
  <c r="R59" i="3"/>
  <c r="R60" i="3"/>
  <c r="R61" i="3"/>
  <c r="R62" i="3"/>
  <c r="R63" i="3"/>
  <c r="R64" i="3"/>
  <c r="R65" i="3"/>
  <c r="R66" i="3"/>
  <c r="R67" i="3"/>
  <c r="R68" i="3"/>
  <c r="R69" i="3"/>
  <c r="R70" i="3"/>
  <c r="Q113" i="3"/>
  <c r="Q114" i="3" s="1"/>
  <c r="C26" i="9" s="1"/>
  <c r="J3" i="3"/>
  <c r="J4" i="3"/>
  <c r="J5" i="3"/>
  <c r="J6" i="3"/>
  <c r="J7" i="3"/>
  <c r="J8" i="3"/>
  <c r="J9" i="3"/>
  <c r="J10" i="3"/>
  <c r="J11" i="3"/>
  <c r="J12" i="3"/>
  <c r="J13" i="3"/>
  <c r="J14" i="3"/>
  <c r="J15" i="3"/>
  <c r="J16" i="3"/>
  <c r="J17" i="3"/>
  <c r="J18" i="3"/>
  <c r="J47" i="3"/>
  <c r="J48" i="3"/>
  <c r="J49" i="3"/>
  <c r="J50" i="3"/>
  <c r="I113" i="3"/>
  <c r="J3" i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R3" i="1"/>
  <c r="R4" i="1"/>
  <c r="R5" i="1"/>
  <c r="R6" i="1"/>
  <c r="R7" i="1"/>
  <c r="R8" i="1"/>
  <c r="R9" i="1"/>
  <c r="R10" i="1"/>
  <c r="R11" i="1"/>
  <c r="R12" i="1"/>
  <c r="R13" i="1"/>
  <c r="R14" i="1"/>
  <c r="R15" i="1"/>
  <c r="R16" i="1"/>
  <c r="R17" i="1"/>
  <c r="R18" i="1"/>
  <c r="R19" i="1"/>
  <c r="R20" i="1"/>
  <c r="R21" i="1"/>
  <c r="R22" i="1"/>
  <c r="R23" i="1"/>
  <c r="R24" i="1"/>
  <c r="R25" i="1"/>
  <c r="R26" i="1"/>
  <c r="R27" i="1"/>
  <c r="R28" i="1"/>
  <c r="R29" i="1"/>
  <c r="R30" i="1"/>
  <c r="R31" i="1"/>
  <c r="R32" i="1"/>
  <c r="R33" i="1"/>
  <c r="R34" i="1"/>
  <c r="R35" i="1"/>
  <c r="R36" i="1"/>
  <c r="R37" i="1"/>
  <c r="R38" i="1"/>
  <c r="R39" i="1"/>
  <c r="R40" i="1"/>
  <c r="R41" i="1"/>
  <c r="R42" i="1"/>
  <c r="R43" i="1"/>
  <c r="R44" i="1"/>
  <c r="R45" i="1"/>
  <c r="R46" i="1"/>
  <c r="R47" i="1"/>
  <c r="R48" i="1"/>
  <c r="R49" i="1"/>
  <c r="R50" i="1"/>
  <c r="R51" i="1"/>
  <c r="R52" i="1"/>
  <c r="R53" i="1"/>
  <c r="R54" i="1"/>
  <c r="C13" i="9"/>
  <c r="R19" i="8"/>
  <c r="R20" i="8"/>
  <c r="R21" i="8"/>
  <c r="R22" i="8"/>
  <c r="R23" i="8"/>
  <c r="R24" i="8"/>
  <c r="R25" i="8"/>
  <c r="R26" i="8"/>
  <c r="R27" i="8"/>
  <c r="R28" i="8"/>
  <c r="R29" i="8"/>
  <c r="R30" i="8"/>
  <c r="R31" i="8"/>
  <c r="R32" i="8"/>
  <c r="R33" i="8"/>
  <c r="R34" i="8"/>
  <c r="R35" i="8"/>
  <c r="R36" i="8"/>
  <c r="R37" i="8"/>
  <c r="R38" i="8"/>
  <c r="R39" i="8"/>
  <c r="R40" i="8"/>
  <c r="R41" i="8"/>
  <c r="R42" i="8"/>
  <c r="R43" i="8"/>
  <c r="R44" i="8"/>
  <c r="R45" i="8"/>
  <c r="R46" i="8"/>
  <c r="R47" i="8"/>
  <c r="R48" i="8"/>
  <c r="R49" i="8"/>
  <c r="R50" i="8"/>
  <c r="R51" i="8"/>
  <c r="R52" i="8"/>
  <c r="R53" i="8"/>
  <c r="R54" i="8"/>
  <c r="R55" i="8"/>
  <c r="R56" i="8"/>
  <c r="R57" i="8"/>
  <c r="R58" i="8"/>
  <c r="R59" i="8"/>
  <c r="R60" i="8"/>
  <c r="R61" i="8"/>
  <c r="R62" i="8"/>
  <c r="R63" i="8"/>
  <c r="R64" i="8"/>
  <c r="R65" i="8"/>
  <c r="R66" i="8"/>
  <c r="R67" i="8"/>
  <c r="R68" i="8"/>
  <c r="R69" i="8"/>
  <c r="R70" i="8"/>
  <c r="R71" i="8"/>
  <c r="R72" i="8"/>
  <c r="R73" i="8"/>
  <c r="R74" i="8"/>
  <c r="R75" i="8"/>
  <c r="R76" i="8"/>
  <c r="R77" i="8"/>
  <c r="R78" i="8"/>
  <c r="R79" i="8"/>
  <c r="R80" i="8"/>
  <c r="R81" i="8"/>
  <c r="R82" i="8"/>
  <c r="Q113" i="8"/>
  <c r="I113" i="8"/>
  <c r="J19" i="8"/>
  <c r="J20" i="8"/>
  <c r="J21" i="8"/>
  <c r="J22" i="8"/>
  <c r="J23" i="8"/>
  <c r="J24" i="8"/>
  <c r="J25" i="8"/>
  <c r="J26" i="8"/>
  <c r="J27" i="8"/>
  <c r="J28" i="8"/>
  <c r="J29" i="8"/>
  <c r="J30" i="8"/>
  <c r="J31" i="8"/>
  <c r="J32" i="8"/>
  <c r="J33" i="8"/>
  <c r="J34" i="8"/>
  <c r="J35" i="8"/>
  <c r="J36" i="8"/>
  <c r="J37" i="8"/>
  <c r="J38" i="8"/>
  <c r="J39" i="8"/>
  <c r="J40" i="8"/>
  <c r="J41" i="8"/>
  <c r="J42" i="8"/>
  <c r="J43" i="8"/>
  <c r="J44" i="8"/>
  <c r="J45" i="8"/>
  <c r="J46" i="8"/>
  <c r="J47" i="8"/>
  <c r="J48" i="8"/>
  <c r="J49" i="8"/>
  <c r="J50" i="8"/>
  <c r="J51" i="8"/>
  <c r="J52" i="8"/>
  <c r="J53" i="8"/>
  <c r="J54" i="8"/>
  <c r="J55" i="8"/>
  <c r="J56" i="8"/>
  <c r="J57" i="8"/>
  <c r="J58" i="8"/>
  <c r="J59" i="8"/>
  <c r="J60" i="8"/>
  <c r="J61" i="8"/>
  <c r="J62" i="8"/>
  <c r="J63" i="8"/>
  <c r="J64" i="8"/>
  <c r="J65" i="8"/>
  <c r="J66" i="8"/>
  <c r="J67" i="8"/>
  <c r="J68" i="8"/>
  <c r="J69" i="8"/>
  <c r="J70" i="8"/>
  <c r="J71" i="8"/>
  <c r="J72" i="8"/>
  <c r="J73" i="8"/>
  <c r="J74" i="8"/>
  <c r="J75" i="8"/>
  <c r="J76" i="8"/>
  <c r="J77" i="8"/>
  <c r="J78" i="8"/>
  <c r="J79" i="8"/>
  <c r="J80" i="8"/>
  <c r="J81" i="8"/>
  <c r="J82" i="8"/>
  <c r="R19" i="6"/>
  <c r="R20" i="6"/>
  <c r="R21" i="6"/>
  <c r="R22" i="6"/>
  <c r="R23" i="6"/>
  <c r="R24" i="6"/>
  <c r="R25" i="6"/>
  <c r="R26" i="6"/>
  <c r="R27" i="6"/>
  <c r="R28" i="6"/>
  <c r="R29" i="6"/>
  <c r="R30" i="6"/>
  <c r="R31" i="6"/>
  <c r="R32" i="6"/>
  <c r="R33" i="6"/>
  <c r="R34" i="6"/>
  <c r="R35" i="6"/>
  <c r="R36" i="6"/>
  <c r="R37" i="6"/>
  <c r="R38" i="6"/>
  <c r="R39" i="6"/>
  <c r="R40" i="6"/>
  <c r="R41" i="6"/>
  <c r="R42" i="6"/>
  <c r="R43" i="6"/>
  <c r="R44" i="6"/>
  <c r="R45" i="6"/>
  <c r="R46" i="6"/>
  <c r="R47" i="6"/>
  <c r="R48" i="6"/>
  <c r="R49" i="6"/>
  <c r="R50" i="6"/>
  <c r="R51" i="6"/>
  <c r="R52" i="6"/>
  <c r="R53" i="6"/>
  <c r="R54" i="6"/>
  <c r="R55" i="6"/>
  <c r="R56" i="6"/>
  <c r="R57" i="6"/>
  <c r="R58" i="6"/>
  <c r="R59" i="6"/>
  <c r="R60" i="6"/>
  <c r="R61" i="6"/>
  <c r="R62" i="6"/>
  <c r="R63" i="6"/>
  <c r="R64" i="6"/>
  <c r="R65" i="6"/>
  <c r="R66" i="6"/>
  <c r="R67" i="6"/>
  <c r="R68" i="6"/>
  <c r="R69" i="6"/>
  <c r="R70" i="6"/>
  <c r="R71" i="6"/>
  <c r="R72" i="6"/>
  <c r="R73" i="6"/>
  <c r="R74" i="6"/>
  <c r="R75" i="6"/>
  <c r="R76" i="6"/>
  <c r="R77" i="6"/>
  <c r="R78" i="6"/>
  <c r="R79" i="6"/>
  <c r="R80" i="6"/>
  <c r="R81" i="6"/>
  <c r="R82" i="6"/>
  <c r="R113" i="6"/>
  <c r="Q113" i="6"/>
  <c r="I113" i="6"/>
  <c r="J19" i="6"/>
  <c r="J20" i="6"/>
  <c r="J21" i="6"/>
  <c r="J22" i="6"/>
  <c r="J23" i="6"/>
  <c r="J24" i="6"/>
  <c r="J25" i="6"/>
  <c r="J26" i="6"/>
  <c r="J27" i="6"/>
  <c r="J28" i="6"/>
  <c r="J29" i="6"/>
  <c r="J30" i="6"/>
  <c r="J31" i="6"/>
  <c r="J32" i="6"/>
  <c r="J33" i="6"/>
  <c r="J34" i="6"/>
  <c r="J35" i="6"/>
  <c r="J36" i="6"/>
  <c r="J37" i="6"/>
  <c r="J38" i="6"/>
  <c r="J39" i="6"/>
  <c r="J40" i="6"/>
  <c r="J41" i="6"/>
  <c r="J42" i="6"/>
  <c r="J43" i="6"/>
  <c r="J44" i="6"/>
  <c r="J45" i="6"/>
  <c r="J46" i="6"/>
  <c r="J47" i="6"/>
  <c r="J48" i="6"/>
  <c r="J49" i="6"/>
  <c r="J50" i="6"/>
  <c r="J51" i="6"/>
  <c r="J52" i="6"/>
  <c r="J53" i="6"/>
  <c r="J54" i="6"/>
  <c r="J55" i="6"/>
  <c r="J56" i="6"/>
  <c r="J57" i="6"/>
  <c r="J58" i="6"/>
  <c r="J59" i="6"/>
  <c r="J60" i="6"/>
  <c r="J61" i="6"/>
  <c r="J62" i="6"/>
  <c r="J63" i="6"/>
  <c r="J64" i="6"/>
  <c r="J65" i="6"/>
  <c r="J66" i="6"/>
  <c r="J67" i="6"/>
  <c r="J68" i="6"/>
  <c r="J69" i="6"/>
  <c r="J70" i="6"/>
  <c r="J71" i="6"/>
  <c r="J72" i="6"/>
  <c r="J73" i="6"/>
  <c r="J74" i="6"/>
  <c r="J75" i="6"/>
  <c r="J76" i="6"/>
  <c r="J77" i="6"/>
  <c r="J78" i="6"/>
  <c r="J79" i="6"/>
  <c r="J80" i="6"/>
  <c r="J81" i="6"/>
  <c r="J82" i="6"/>
  <c r="R19" i="7"/>
  <c r="R20" i="7"/>
  <c r="R21" i="7"/>
  <c r="R22" i="7"/>
  <c r="R23" i="7"/>
  <c r="R24" i="7"/>
  <c r="R25" i="7"/>
  <c r="R26" i="7"/>
  <c r="R27" i="7"/>
  <c r="R28" i="7"/>
  <c r="R29" i="7"/>
  <c r="R30" i="7"/>
  <c r="R31" i="7"/>
  <c r="R32" i="7"/>
  <c r="R33" i="7"/>
  <c r="R34" i="7"/>
  <c r="R35" i="7"/>
  <c r="R36" i="7"/>
  <c r="R37" i="7"/>
  <c r="R38" i="7"/>
  <c r="R39" i="7"/>
  <c r="R40" i="7"/>
  <c r="R41" i="7"/>
  <c r="R42" i="7"/>
  <c r="R43" i="7"/>
  <c r="R44" i="7"/>
  <c r="R45" i="7"/>
  <c r="R46" i="7"/>
  <c r="R47" i="7"/>
  <c r="R48" i="7"/>
  <c r="R49" i="7"/>
  <c r="R50" i="7"/>
  <c r="R51" i="7"/>
  <c r="R52" i="7"/>
  <c r="R53" i="7"/>
  <c r="R54" i="7"/>
  <c r="R55" i="7"/>
  <c r="R56" i="7"/>
  <c r="R57" i="7"/>
  <c r="R58" i="7"/>
  <c r="R59" i="7"/>
  <c r="R60" i="7"/>
  <c r="R61" i="7"/>
  <c r="R62" i="7"/>
  <c r="R63" i="7"/>
  <c r="R64" i="7"/>
  <c r="R65" i="7"/>
  <c r="R66" i="7"/>
  <c r="R67" i="7"/>
  <c r="R68" i="7"/>
  <c r="R69" i="7"/>
  <c r="R70" i="7"/>
  <c r="R71" i="7"/>
  <c r="R72" i="7"/>
  <c r="R73" i="7"/>
  <c r="R74" i="7"/>
  <c r="R75" i="7"/>
  <c r="R76" i="7"/>
  <c r="R77" i="7"/>
  <c r="R78" i="7"/>
  <c r="R79" i="7"/>
  <c r="R80" i="7"/>
  <c r="R81" i="7"/>
  <c r="R82" i="7"/>
  <c r="Q113" i="7"/>
  <c r="I113" i="7"/>
  <c r="J19" i="7"/>
  <c r="J20" i="7"/>
  <c r="J21" i="7"/>
  <c r="J22" i="7"/>
  <c r="J106" i="7" s="1"/>
  <c r="J23" i="7"/>
  <c r="J24" i="7"/>
  <c r="J25" i="7"/>
  <c r="J26" i="7"/>
  <c r="J27" i="7"/>
  <c r="J28" i="7"/>
  <c r="J29" i="7"/>
  <c r="J30" i="7"/>
  <c r="J31" i="7"/>
  <c r="J32" i="7"/>
  <c r="J33" i="7"/>
  <c r="J34" i="7"/>
  <c r="J35" i="7"/>
  <c r="J36" i="7"/>
  <c r="J37" i="7"/>
  <c r="J38" i="7"/>
  <c r="J39" i="7"/>
  <c r="J40" i="7"/>
  <c r="J41" i="7"/>
  <c r="J42" i="7"/>
  <c r="J43" i="7"/>
  <c r="J44" i="7"/>
  <c r="J45" i="7"/>
  <c r="J46" i="7"/>
  <c r="J47" i="7"/>
  <c r="J48" i="7"/>
  <c r="J49" i="7"/>
  <c r="J50" i="7"/>
  <c r="J51" i="7"/>
  <c r="J52" i="7"/>
  <c r="J53" i="7"/>
  <c r="J54" i="7"/>
  <c r="J55" i="7"/>
  <c r="J56" i="7"/>
  <c r="J57" i="7"/>
  <c r="J58" i="7"/>
  <c r="J59" i="7"/>
  <c r="J60" i="7"/>
  <c r="J61" i="7"/>
  <c r="J62" i="7"/>
  <c r="J63" i="7"/>
  <c r="J64" i="7"/>
  <c r="J65" i="7"/>
  <c r="J66" i="7"/>
  <c r="J67" i="7"/>
  <c r="J68" i="7"/>
  <c r="J69" i="7"/>
  <c r="J70" i="7"/>
  <c r="J71" i="7"/>
  <c r="J72" i="7"/>
  <c r="J73" i="7"/>
  <c r="J74" i="7"/>
  <c r="J75" i="7"/>
  <c r="J76" i="7"/>
  <c r="J77" i="7"/>
  <c r="J78" i="7"/>
  <c r="J79" i="7"/>
  <c r="J80" i="7"/>
  <c r="J81" i="7"/>
  <c r="J82" i="7"/>
  <c r="J83" i="7"/>
  <c r="J84" i="7"/>
  <c r="J85" i="7"/>
  <c r="J86" i="7"/>
  <c r="J87" i="7"/>
  <c r="J88" i="7"/>
  <c r="J89" i="7"/>
  <c r="J90" i="7"/>
  <c r="J91" i="7"/>
  <c r="J92" i="7"/>
  <c r="J93" i="7"/>
  <c r="J94" i="7"/>
  <c r="J95" i="7"/>
  <c r="J96" i="7"/>
  <c r="J97" i="7"/>
  <c r="J98" i="7"/>
  <c r="R19" i="5"/>
  <c r="R20" i="5"/>
  <c r="R21" i="5"/>
  <c r="R22" i="5"/>
  <c r="R23" i="5"/>
  <c r="R24" i="5"/>
  <c r="R25" i="5"/>
  <c r="R26" i="5"/>
  <c r="R27" i="5"/>
  <c r="R28" i="5"/>
  <c r="R29" i="5"/>
  <c r="R30" i="5"/>
  <c r="R31" i="5"/>
  <c r="R32" i="5"/>
  <c r="R33" i="5"/>
  <c r="R34" i="5"/>
  <c r="R35" i="5"/>
  <c r="R36" i="5"/>
  <c r="R37" i="5"/>
  <c r="R38" i="5"/>
  <c r="R39" i="5"/>
  <c r="R40" i="5"/>
  <c r="R41" i="5"/>
  <c r="R42" i="5"/>
  <c r="R43" i="5"/>
  <c r="R44" i="5"/>
  <c r="R45" i="5"/>
  <c r="R46" i="5"/>
  <c r="R47" i="5"/>
  <c r="R48" i="5"/>
  <c r="R49" i="5"/>
  <c r="R50" i="5"/>
  <c r="R51" i="5"/>
  <c r="R52" i="5"/>
  <c r="R53" i="5"/>
  <c r="R54" i="5"/>
  <c r="R55" i="5"/>
  <c r="R56" i="5"/>
  <c r="R57" i="5"/>
  <c r="R58" i="5"/>
  <c r="R59" i="5"/>
  <c r="R60" i="5"/>
  <c r="R61" i="5"/>
  <c r="R62" i="5"/>
  <c r="R63" i="5"/>
  <c r="R64" i="5"/>
  <c r="R65" i="5"/>
  <c r="R66" i="5"/>
  <c r="R67" i="5"/>
  <c r="R68" i="5"/>
  <c r="R69" i="5"/>
  <c r="R70" i="5"/>
  <c r="R71" i="5"/>
  <c r="R72" i="5"/>
  <c r="R73" i="5"/>
  <c r="R74" i="5"/>
  <c r="R75" i="5"/>
  <c r="R76" i="5"/>
  <c r="R77" i="5"/>
  <c r="R78" i="5"/>
  <c r="R79" i="5"/>
  <c r="R80" i="5"/>
  <c r="R81" i="5"/>
  <c r="R82" i="5"/>
  <c r="Q113" i="5"/>
  <c r="Q114" i="5" s="1"/>
  <c r="C39" i="9" s="1"/>
  <c r="I113" i="5"/>
  <c r="J19" i="5"/>
  <c r="J20" i="5"/>
  <c r="J21" i="5"/>
  <c r="J22" i="5"/>
  <c r="J23" i="5"/>
  <c r="J24" i="5"/>
  <c r="J25" i="5"/>
  <c r="J26" i="5"/>
  <c r="J27" i="5"/>
  <c r="J28" i="5"/>
  <c r="J29" i="5"/>
  <c r="J30" i="5"/>
  <c r="J31" i="5"/>
  <c r="J32" i="5"/>
  <c r="J33" i="5"/>
  <c r="J34" i="5"/>
  <c r="J35" i="5"/>
  <c r="J36" i="5"/>
  <c r="J37" i="5"/>
  <c r="J38" i="5"/>
  <c r="J39" i="5"/>
  <c r="J40" i="5"/>
  <c r="J41" i="5"/>
  <c r="J42" i="5"/>
  <c r="J43" i="5"/>
  <c r="J44" i="5"/>
  <c r="J45" i="5"/>
  <c r="J46" i="5"/>
  <c r="J47" i="5"/>
  <c r="J48" i="5"/>
  <c r="J49" i="5"/>
  <c r="J50" i="5"/>
  <c r="J51" i="5"/>
  <c r="J52" i="5"/>
  <c r="J53" i="5"/>
  <c r="J54" i="5"/>
  <c r="J55" i="5"/>
  <c r="J56" i="5"/>
  <c r="J57" i="5"/>
  <c r="J58" i="5"/>
  <c r="J59" i="5"/>
  <c r="J60" i="5"/>
  <c r="J61" i="5"/>
  <c r="J62" i="5"/>
  <c r="J63" i="5"/>
  <c r="J64" i="5"/>
  <c r="J65" i="5"/>
  <c r="J66" i="5"/>
  <c r="J67" i="5"/>
  <c r="J68" i="5"/>
  <c r="J69" i="5"/>
  <c r="J70" i="5"/>
  <c r="J71" i="5"/>
  <c r="J72" i="5"/>
  <c r="J73" i="5"/>
  <c r="J74" i="5"/>
  <c r="J75" i="5"/>
  <c r="J76" i="5"/>
  <c r="J77" i="5"/>
  <c r="J78" i="5"/>
  <c r="J79" i="5"/>
  <c r="J80" i="5"/>
  <c r="J81" i="5"/>
  <c r="J82" i="5"/>
  <c r="C13" i="16"/>
  <c r="K3" i="16"/>
  <c r="K2" i="16"/>
  <c r="R98" i="8"/>
  <c r="J98" i="8"/>
  <c r="R97" i="8"/>
  <c r="J97" i="8"/>
  <c r="R96" i="8"/>
  <c r="J96" i="8"/>
  <c r="R95" i="8"/>
  <c r="J95" i="8"/>
  <c r="R94" i="8"/>
  <c r="J94" i="8"/>
  <c r="R93" i="8"/>
  <c r="J93" i="8"/>
  <c r="R92" i="8"/>
  <c r="J92" i="8"/>
  <c r="R91" i="8"/>
  <c r="J91" i="8"/>
  <c r="R90" i="8"/>
  <c r="J90" i="8"/>
  <c r="R89" i="8"/>
  <c r="J89" i="8"/>
  <c r="R88" i="8"/>
  <c r="J88" i="8"/>
  <c r="R87" i="8"/>
  <c r="J87" i="8"/>
  <c r="R86" i="8"/>
  <c r="J86" i="8"/>
  <c r="R85" i="8"/>
  <c r="J85" i="8"/>
  <c r="R84" i="8"/>
  <c r="J84" i="8"/>
  <c r="R83" i="8"/>
  <c r="J83" i="8"/>
  <c r="R98" i="6"/>
  <c r="J98" i="6"/>
  <c r="R97" i="6"/>
  <c r="J97" i="6"/>
  <c r="R96" i="6"/>
  <c r="J96" i="6"/>
  <c r="R95" i="6"/>
  <c r="J95" i="6"/>
  <c r="R94" i="6"/>
  <c r="J94" i="6"/>
  <c r="R93" i="6"/>
  <c r="J93" i="6"/>
  <c r="R92" i="6"/>
  <c r="J92" i="6"/>
  <c r="R91" i="6"/>
  <c r="J91" i="6"/>
  <c r="R90" i="6"/>
  <c r="J90" i="6"/>
  <c r="R89" i="6"/>
  <c r="J89" i="6"/>
  <c r="R88" i="6"/>
  <c r="J88" i="6"/>
  <c r="R87" i="6"/>
  <c r="J87" i="6"/>
  <c r="R86" i="6"/>
  <c r="J86" i="6"/>
  <c r="R85" i="6"/>
  <c r="J85" i="6"/>
  <c r="R84" i="6"/>
  <c r="J84" i="6"/>
  <c r="R83" i="6"/>
  <c r="J83" i="6"/>
  <c r="R98" i="4"/>
  <c r="J98" i="4"/>
  <c r="R97" i="4"/>
  <c r="J97" i="4"/>
  <c r="R96" i="4"/>
  <c r="J96" i="4"/>
  <c r="R95" i="4"/>
  <c r="J95" i="4"/>
  <c r="R94" i="4"/>
  <c r="J94" i="4"/>
  <c r="R93" i="4"/>
  <c r="J93" i="4"/>
  <c r="R92" i="4"/>
  <c r="J92" i="4"/>
  <c r="R91" i="4"/>
  <c r="J91" i="4"/>
  <c r="R90" i="4"/>
  <c r="J90" i="4"/>
  <c r="R89" i="4"/>
  <c r="J89" i="4"/>
  <c r="R88" i="4"/>
  <c r="J88" i="4"/>
  <c r="R87" i="4"/>
  <c r="J87" i="4"/>
  <c r="R86" i="4"/>
  <c r="J86" i="4"/>
  <c r="R85" i="4"/>
  <c r="J85" i="4"/>
  <c r="R84" i="4"/>
  <c r="J84" i="4"/>
  <c r="R83" i="4"/>
  <c r="J83" i="4"/>
  <c r="R98" i="2"/>
  <c r="J98" i="2"/>
  <c r="R97" i="2"/>
  <c r="J97" i="2"/>
  <c r="R96" i="2"/>
  <c r="J96" i="2"/>
  <c r="R95" i="2"/>
  <c r="J95" i="2"/>
  <c r="R94" i="2"/>
  <c r="J94" i="2"/>
  <c r="R93" i="2"/>
  <c r="J93" i="2"/>
  <c r="R92" i="2"/>
  <c r="J92" i="2"/>
  <c r="R91" i="2"/>
  <c r="J91" i="2"/>
  <c r="R90" i="2"/>
  <c r="J90" i="2"/>
  <c r="R89" i="2"/>
  <c r="J89" i="2"/>
  <c r="R88" i="2"/>
  <c r="J88" i="2"/>
  <c r="R87" i="2"/>
  <c r="J87" i="2"/>
  <c r="R86" i="2"/>
  <c r="J86" i="2"/>
  <c r="R85" i="2"/>
  <c r="J85" i="2"/>
  <c r="R84" i="2"/>
  <c r="J84" i="2"/>
  <c r="R83" i="2"/>
  <c r="J83" i="2"/>
  <c r="R98" i="7"/>
  <c r="R97" i="7"/>
  <c r="R96" i="7"/>
  <c r="R95" i="7"/>
  <c r="R94" i="7"/>
  <c r="R93" i="7"/>
  <c r="R92" i="7"/>
  <c r="R91" i="7"/>
  <c r="R90" i="7"/>
  <c r="R89" i="7"/>
  <c r="R88" i="7"/>
  <c r="R87" i="7"/>
  <c r="R86" i="7"/>
  <c r="R85" i="7"/>
  <c r="R84" i="7"/>
  <c r="R83" i="7"/>
  <c r="R98" i="5"/>
  <c r="J98" i="5"/>
  <c r="R97" i="5"/>
  <c r="J97" i="5"/>
  <c r="R96" i="5"/>
  <c r="J96" i="5"/>
  <c r="R95" i="5"/>
  <c r="J95" i="5"/>
  <c r="R94" i="5"/>
  <c r="J94" i="5"/>
  <c r="R93" i="5"/>
  <c r="J93" i="5"/>
  <c r="R92" i="5"/>
  <c r="J92" i="5"/>
  <c r="R91" i="5"/>
  <c r="J91" i="5"/>
  <c r="R90" i="5"/>
  <c r="J90" i="5"/>
  <c r="R89" i="5"/>
  <c r="J89" i="5"/>
  <c r="R88" i="5"/>
  <c r="J88" i="5"/>
  <c r="R87" i="5"/>
  <c r="J87" i="5"/>
  <c r="R86" i="5"/>
  <c r="J86" i="5"/>
  <c r="R85" i="5"/>
  <c r="J85" i="5"/>
  <c r="R84" i="5"/>
  <c r="J84" i="5"/>
  <c r="R83" i="5"/>
  <c r="J83" i="5"/>
  <c r="R98" i="3"/>
  <c r="J98" i="3"/>
  <c r="R97" i="3"/>
  <c r="J97" i="3"/>
  <c r="R96" i="3"/>
  <c r="J96" i="3"/>
  <c r="R95" i="3"/>
  <c r="J95" i="3"/>
  <c r="R94" i="3"/>
  <c r="J94" i="3"/>
  <c r="R93" i="3"/>
  <c r="J93" i="3"/>
  <c r="R92" i="3"/>
  <c r="J92" i="3"/>
  <c r="R91" i="3"/>
  <c r="J91" i="3"/>
  <c r="R90" i="3"/>
  <c r="J90" i="3"/>
  <c r="R89" i="3"/>
  <c r="J89" i="3"/>
  <c r="R88" i="3"/>
  <c r="J88" i="3"/>
  <c r="R87" i="3"/>
  <c r="J87" i="3"/>
  <c r="R86" i="3"/>
  <c r="J86" i="3"/>
  <c r="R85" i="3"/>
  <c r="J85" i="3"/>
  <c r="R84" i="3"/>
  <c r="J84" i="3"/>
  <c r="R83" i="3"/>
  <c r="J83" i="3"/>
  <c r="Q114" i="6"/>
  <c r="F39" i="9" s="1"/>
  <c r="Q114" i="4"/>
  <c r="F26" i="9" s="1"/>
  <c r="Q106" i="8"/>
  <c r="I106" i="8"/>
  <c r="Q107" i="8"/>
  <c r="F52" i="16" s="1"/>
  <c r="Q106" i="7"/>
  <c r="I106" i="7"/>
  <c r="Q107" i="7"/>
  <c r="C52" i="16" s="1"/>
  <c r="Q106" i="6"/>
  <c r="I106" i="6"/>
  <c r="Q107" i="6"/>
  <c r="F39" i="16" s="1"/>
  <c r="Q106" i="5"/>
  <c r="Q107" i="5" s="1"/>
  <c r="C39" i="16"/>
  <c r="I106" i="5"/>
  <c r="Q106" i="4"/>
  <c r="I106" i="4"/>
  <c r="Q107" i="4"/>
  <c r="F26" i="16" s="1"/>
  <c r="Q106" i="3"/>
  <c r="I106" i="3"/>
  <c r="Q107" i="3"/>
  <c r="C26" i="16" s="1"/>
  <c r="Q106" i="2"/>
  <c r="I106" i="2"/>
  <c r="Q107" i="2"/>
  <c r="F13" i="16" s="1"/>
  <c r="Q114" i="8"/>
  <c r="Q114" i="7"/>
  <c r="Q108" i="8"/>
  <c r="I108" i="8"/>
  <c r="Q108" i="7"/>
  <c r="I108" i="7"/>
  <c r="Q108" i="6"/>
  <c r="I108" i="6"/>
  <c r="Q108" i="5"/>
  <c r="I108" i="5"/>
  <c r="Q108" i="4"/>
  <c r="I108" i="4"/>
  <c r="Q108" i="3"/>
  <c r="I108" i="3"/>
  <c r="Q108" i="2"/>
  <c r="I108" i="2"/>
  <c r="AC3" i="10"/>
  <c r="AC4" i="10"/>
  <c r="AC5" i="10" s="1"/>
  <c r="AC6" i="10" s="1"/>
  <c r="AD8" i="10"/>
  <c r="AA31" i="7"/>
  <c r="J108" i="2"/>
  <c r="C12" i="16"/>
  <c r="C12" i="9"/>
  <c r="J108" i="4"/>
  <c r="AA43" i="5"/>
  <c r="AA39" i="5"/>
  <c r="AB59" i="5"/>
  <c r="J108" i="7"/>
  <c r="AA47" i="3"/>
  <c r="AA83" i="3"/>
  <c r="AA87" i="3"/>
  <c r="AA39" i="3"/>
  <c r="AA19" i="3"/>
  <c r="U439" i="1"/>
  <c r="V459" i="1"/>
  <c r="X467" i="1"/>
  <c r="W431" i="1"/>
  <c r="X427" i="1"/>
  <c r="Y379" i="1"/>
  <c r="X395" i="1"/>
  <c r="Y415" i="1"/>
  <c r="U375" i="1"/>
  <c r="X367" i="1"/>
  <c r="W323" i="1"/>
  <c r="T343" i="1"/>
  <c r="Y355" i="1"/>
  <c r="U315" i="1"/>
  <c r="Y307" i="1"/>
  <c r="U447" i="1"/>
  <c r="V467" i="1"/>
  <c r="X423" i="1"/>
  <c r="W439" i="1"/>
  <c r="X443" i="1"/>
  <c r="Y387" i="1"/>
  <c r="X403" i="1"/>
  <c r="V379" i="1"/>
  <c r="U383" i="1"/>
  <c r="V387" i="1"/>
  <c r="W331" i="1"/>
  <c r="Y363" i="1"/>
  <c r="U323" i="1"/>
  <c r="T323" i="1"/>
  <c r="U463" i="1"/>
  <c r="X439" i="1"/>
  <c r="X459" i="1"/>
  <c r="T383" i="1"/>
  <c r="U399" i="1"/>
  <c r="W347" i="1"/>
  <c r="V323" i="1"/>
  <c r="V343" i="1"/>
  <c r="U267" i="1"/>
  <c r="W275" i="1"/>
  <c r="T287" i="1"/>
  <c r="V295" i="1"/>
  <c r="W251" i="1"/>
  <c r="X259" i="1"/>
  <c r="X231" i="1"/>
  <c r="Y251" i="1"/>
  <c r="U211" i="1"/>
  <c r="V207" i="1"/>
  <c r="X163" i="1"/>
  <c r="W187" i="1"/>
  <c r="X191" i="1"/>
  <c r="Y135" i="1"/>
  <c r="V111" i="1"/>
  <c r="T119" i="1"/>
  <c r="Y139" i="1"/>
  <c r="T139" i="1"/>
  <c r="W79" i="1"/>
  <c r="V87" i="1"/>
  <c r="Y95" i="1"/>
  <c r="T455" i="1"/>
  <c r="U427" i="1"/>
  <c r="W375" i="1"/>
  <c r="W427" i="1"/>
  <c r="W463" i="1"/>
  <c r="Y411" i="1"/>
  <c r="T387" i="1"/>
  <c r="V411" i="1"/>
  <c r="X363" i="1"/>
  <c r="U347" i="1"/>
  <c r="U299" i="1"/>
  <c r="X455" i="1"/>
  <c r="Y427" i="1"/>
  <c r="U379" i="1"/>
  <c r="U415" i="1"/>
  <c r="W363" i="1"/>
  <c r="V339" i="1"/>
  <c r="V359" i="1"/>
  <c r="Y439" i="1"/>
  <c r="T435" i="1"/>
  <c r="Y375" i="1"/>
  <c r="W359" i="1"/>
  <c r="W307" i="1"/>
  <c r="V275" i="1"/>
  <c r="Y239" i="1"/>
  <c r="T223" i="1"/>
  <c r="V247" i="1"/>
  <c r="Y175" i="1"/>
  <c r="U127" i="1"/>
  <c r="V107" i="1"/>
  <c r="T123" i="1"/>
  <c r="X75" i="1"/>
  <c r="X431" i="1"/>
  <c r="X411" i="1"/>
  <c r="Y367" i="1"/>
  <c r="U319" i="1"/>
  <c r="W303" i="1"/>
  <c r="Y303" i="1"/>
  <c r="U263" i="1"/>
  <c r="X271" i="1"/>
  <c r="T283" i="1"/>
  <c r="U239" i="1"/>
  <c r="X219" i="1"/>
  <c r="V219" i="1"/>
  <c r="W239" i="1"/>
  <c r="X243" i="1"/>
  <c r="Y179" i="1"/>
  <c r="V431" i="1"/>
  <c r="Y443" i="1"/>
  <c r="U395" i="1"/>
  <c r="V367" i="1"/>
  <c r="X391" i="1"/>
  <c r="V355" i="1"/>
  <c r="W327" i="1"/>
  <c r="U283" i="1"/>
  <c r="W291" i="1"/>
  <c r="T303" i="1"/>
  <c r="V311" i="1"/>
  <c r="X267" i="1"/>
  <c r="Y223" i="1"/>
  <c r="X247" i="1"/>
  <c r="T235" i="1"/>
  <c r="U227" i="1"/>
  <c r="T211" i="1"/>
  <c r="W459" i="1"/>
  <c r="T439" i="1"/>
  <c r="T459" i="1"/>
  <c r="V371" i="1"/>
  <c r="W395" i="1"/>
  <c r="Y343" i="1"/>
  <c r="X319" i="1"/>
  <c r="X339" i="1"/>
  <c r="Y423" i="1"/>
  <c r="Y459" i="1"/>
  <c r="U411" i="1"/>
  <c r="V383" i="1"/>
  <c r="X407" i="1"/>
  <c r="X331" i="1"/>
  <c r="W343" i="1"/>
  <c r="W295" i="1"/>
  <c r="W455" i="1"/>
  <c r="T379" i="1"/>
  <c r="X315" i="1"/>
  <c r="U291" i="1"/>
  <c r="V307" i="1"/>
  <c r="T275" i="1"/>
  <c r="T255" i="1"/>
  <c r="W231" i="1"/>
  <c r="Y171" i="1"/>
  <c r="Y207" i="1"/>
  <c r="X159" i="1"/>
  <c r="V139" i="1"/>
  <c r="W119" i="1"/>
  <c r="U59" i="1"/>
  <c r="Y431" i="1"/>
  <c r="T419" i="1"/>
  <c r="X447" i="1"/>
  <c r="U371" i="1"/>
  <c r="W355" i="1"/>
  <c r="X419" i="1"/>
  <c r="T395" i="1"/>
  <c r="Y319" i="1"/>
  <c r="U307" i="1"/>
  <c r="V399" i="1"/>
  <c r="W311" i="1"/>
  <c r="X283" i="1"/>
  <c r="U243" i="1"/>
  <c r="V171" i="1"/>
  <c r="T151" i="1"/>
  <c r="Y67" i="1"/>
  <c r="X451" i="1"/>
  <c r="Y359" i="1"/>
  <c r="X355" i="1"/>
  <c r="W283" i="1"/>
  <c r="V303" i="1"/>
  <c r="Y215" i="1"/>
  <c r="Y259" i="1"/>
  <c r="U203" i="1"/>
  <c r="W451" i="1"/>
  <c r="T451" i="1"/>
  <c r="W387" i="1"/>
  <c r="T363" i="1"/>
  <c r="Y311" i="1"/>
  <c r="X279" i="1"/>
  <c r="U247" i="1"/>
  <c r="V227" i="1"/>
  <c r="X251" i="1"/>
  <c r="T427" i="1"/>
  <c r="U443" i="1"/>
  <c r="W391" i="1"/>
  <c r="T415" i="1"/>
  <c r="T391" i="1"/>
  <c r="Y323" i="1"/>
  <c r="Y455" i="1"/>
  <c r="V435" i="1"/>
  <c r="V455" i="1"/>
  <c r="V415" i="1"/>
  <c r="Y391" i="1"/>
  <c r="U343" i="1"/>
  <c r="T319" i="1"/>
  <c r="T339" i="1"/>
  <c r="T463" i="1"/>
  <c r="W383" i="1"/>
  <c r="X375" i="1"/>
  <c r="Y315" i="1"/>
  <c r="U287" i="1"/>
  <c r="T307" i="1"/>
  <c r="W219" i="1"/>
  <c r="X211" i="1"/>
  <c r="Y203" i="1"/>
  <c r="V175" i="1"/>
  <c r="V203" i="1"/>
  <c r="X155" i="1"/>
  <c r="W151" i="1"/>
  <c r="U91" i="1"/>
  <c r="V55" i="1"/>
  <c r="W447" i="1"/>
  <c r="T371" i="1"/>
  <c r="V395" i="1"/>
  <c r="T359" i="1"/>
  <c r="U331" i="1"/>
  <c r="W287" i="1"/>
  <c r="X303" i="1"/>
  <c r="V271" i="1"/>
  <c r="V251" i="1"/>
  <c r="Y227" i="1"/>
  <c r="U171" i="1"/>
  <c r="V451" i="1"/>
  <c r="Y371" i="1"/>
  <c r="U359" i="1"/>
  <c r="T355" i="1"/>
  <c r="Y279" i="1"/>
  <c r="X299" i="1"/>
  <c r="U215" i="1"/>
  <c r="U259" i="1"/>
  <c r="W199" i="1"/>
  <c r="X207" i="1"/>
  <c r="T171" i="1"/>
  <c r="Y191" i="1"/>
  <c r="T199" i="1"/>
  <c r="U143" i="1"/>
  <c r="X139" i="1"/>
  <c r="V123" i="1"/>
  <c r="U147" i="1"/>
  <c r="V151" i="1"/>
  <c r="Y83" i="1"/>
  <c r="X91" i="1"/>
  <c r="V443" i="1"/>
  <c r="U279" i="1"/>
  <c r="W211" i="1"/>
  <c r="Y143" i="1"/>
  <c r="T127" i="1"/>
  <c r="U107" i="1"/>
  <c r="V95" i="1"/>
  <c r="W83" i="1"/>
  <c r="T95" i="1"/>
  <c r="X87" i="6"/>
  <c r="Y83" i="4"/>
  <c r="X51" i="4"/>
  <c r="U35" i="3"/>
  <c r="W79" i="3"/>
  <c r="Y75" i="3"/>
  <c r="W95" i="5"/>
  <c r="X15" i="1"/>
  <c r="V19" i="5"/>
  <c r="X63" i="2"/>
  <c r="U19" i="8"/>
  <c r="W19" i="2"/>
  <c r="Y11" i="2"/>
  <c r="V75" i="8"/>
  <c r="T51" i="8"/>
  <c r="V55" i="8"/>
  <c r="U51" i="2"/>
  <c r="W95" i="2"/>
  <c r="V23" i="1"/>
  <c r="Y79" i="7"/>
  <c r="U19" i="6"/>
  <c r="T59" i="7"/>
  <c r="X63" i="6"/>
  <c r="Y63" i="3"/>
  <c r="X83" i="7"/>
  <c r="V35" i="3"/>
  <c r="U87" i="2"/>
  <c r="V63" i="3"/>
  <c r="W71" i="2"/>
  <c r="Y75" i="2"/>
  <c r="Y55" i="7"/>
  <c r="Y91" i="5"/>
  <c r="W79" i="8"/>
  <c r="T443" i="1"/>
  <c r="U363" i="1"/>
  <c r="W263" i="1"/>
  <c r="V283" i="1"/>
  <c r="Y247" i="1"/>
  <c r="T231" i="1"/>
  <c r="V255" i="1"/>
  <c r="X203" i="1"/>
  <c r="U467" i="1"/>
  <c r="X387" i="1"/>
  <c r="W315" i="1"/>
  <c r="Y299" i="1"/>
  <c r="X311" i="1"/>
  <c r="V279" i="1"/>
  <c r="V259" i="1"/>
  <c r="Y235" i="1"/>
  <c r="Y187" i="1"/>
  <c r="T203" i="1"/>
  <c r="V159" i="1"/>
  <c r="U183" i="1"/>
  <c r="V187" i="1"/>
  <c r="W131" i="1"/>
  <c r="V155" i="1"/>
  <c r="X111" i="1"/>
  <c r="W135" i="1"/>
  <c r="T131" i="1"/>
  <c r="U75" i="1"/>
  <c r="T83" i="1"/>
  <c r="V463" i="1"/>
  <c r="T327" i="1"/>
  <c r="X287" i="1"/>
  <c r="V235" i="1"/>
  <c r="T167" i="1"/>
  <c r="U175" i="1"/>
  <c r="W123" i="1"/>
  <c r="T155" i="1"/>
  <c r="T115" i="1"/>
  <c r="T75" i="1"/>
  <c r="Y71" i="1"/>
  <c r="V83" i="1"/>
  <c r="U59" i="5"/>
  <c r="W59" i="6"/>
  <c r="X75" i="3"/>
  <c r="Y55" i="2"/>
  <c r="W7" i="4"/>
  <c r="V39" i="2"/>
  <c r="Y7" i="3"/>
  <c r="V83" i="4"/>
  <c r="V79" i="6"/>
  <c r="V23" i="8"/>
  <c r="T23" i="4"/>
  <c r="W19" i="1"/>
  <c r="X75" i="8"/>
  <c r="Y39" i="7"/>
  <c r="Y71" i="2"/>
  <c r="Y31" i="5"/>
  <c r="U43" i="2"/>
  <c r="U63" i="4"/>
  <c r="W15" i="4"/>
  <c r="X39" i="1"/>
  <c r="T23" i="8"/>
  <c r="X59" i="5"/>
  <c r="X43" i="7"/>
  <c r="W83" i="3"/>
  <c r="U55" i="8"/>
  <c r="X19" i="5"/>
  <c r="Y43" i="6"/>
  <c r="Y11" i="1"/>
  <c r="W83" i="2"/>
  <c r="W75" i="2"/>
  <c r="U39" i="6"/>
  <c r="W87" i="6"/>
  <c r="Y19" i="2"/>
  <c r="T403" i="1"/>
  <c r="T315" i="1"/>
  <c r="V287" i="1"/>
  <c r="Y243" i="1"/>
  <c r="V167" i="1"/>
  <c r="X123" i="1"/>
  <c r="W143" i="1"/>
  <c r="U83" i="1"/>
  <c r="Y103" i="1"/>
  <c r="W59" i="1"/>
  <c r="T71" i="1"/>
  <c r="T467" i="1"/>
  <c r="Y451" i="1"/>
  <c r="U403" i="1"/>
  <c r="V375" i="1"/>
  <c r="X399" i="1"/>
  <c r="V363" i="1"/>
  <c r="W335" i="1"/>
  <c r="W467" i="1"/>
  <c r="T447" i="1"/>
  <c r="U419" i="1"/>
  <c r="W367" i="1"/>
  <c r="W403" i="1"/>
  <c r="X327" i="1"/>
  <c r="X347" i="1"/>
  <c r="W419" i="1"/>
  <c r="Y403" i="1"/>
  <c r="V403" i="1"/>
  <c r="U339" i="1"/>
  <c r="Y295" i="1"/>
  <c r="X263" i="1"/>
  <c r="U231" i="1"/>
  <c r="V211" i="1"/>
  <c r="T219" i="1"/>
  <c r="T187" i="1"/>
  <c r="U167" i="1"/>
  <c r="W115" i="1"/>
  <c r="V119" i="1"/>
  <c r="Y99" i="1"/>
  <c r="T67" i="1"/>
  <c r="Y467" i="1"/>
  <c r="V391" i="1"/>
  <c r="Y419" i="1"/>
  <c r="U407" i="1"/>
  <c r="V331" i="1"/>
  <c r="W435" i="1"/>
  <c r="V423" i="1"/>
  <c r="W371" i="1"/>
  <c r="U355" i="1"/>
  <c r="V419" i="1"/>
  <c r="U327" i="1"/>
  <c r="Y263" i="1"/>
  <c r="V223" i="1"/>
  <c r="W183" i="1"/>
  <c r="T183" i="1"/>
  <c r="U131" i="1"/>
  <c r="U455" i="1"/>
  <c r="W411" i="1"/>
  <c r="X335" i="1"/>
  <c r="U275" i="1"/>
  <c r="T295" i="1"/>
  <c r="W259" i="1"/>
  <c r="X239" i="1"/>
  <c r="U219" i="1"/>
  <c r="W159" i="1"/>
  <c r="T431" i="1"/>
  <c r="T411" i="1"/>
  <c r="Y335" i="1"/>
  <c r="T331" i="1"/>
  <c r="U271" i="1"/>
  <c r="T291" i="1"/>
  <c r="X235" i="1"/>
  <c r="W247" i="1"/>
  <c r="Y447" i="1"/>
  <c r="V427" i="1"/>
  <c r="V447" i="1"/>
  <c r="V407" i="1"/>
  <c r="Y383" i="1"/>
  <c r="U335" i="1"/>
  <c r="X323" i="1"/>
  <c r="V327" i="1"/>
  <c r="V439" i="1"/>
  <c r="U451" i="1"/>
  <c r="W399" i="1"/>
  <c r="X371" i="1"/>
  <c r="T399" i="1"/>
  <c r="X359" i="1"/>
  <c r="Y331" i="1"/>
  <c r="Y283" i="1"/>
  <c r="U435" i="1"/>
  <c r="T367" i="1"/>
  <c r="X343" i="1"/>
  <c r="Y275" i="1"/>
  <c r="X295" i="1"/>
  <c r="V263" i="1"/>
  <c r="V243" i="1"/>
  <c r="Y219" i="1"/>
  <c r="U163" i="1"/>
  <c r="U199" i="1"/>
  <c r="W147" i="1"/>
  <c r="X127" i="1"/>
  <c r="Y107" i="1"/>
  <c r="T99" i="1"/>
  <c r="X435" i="1"/>
  <c r="Y395" i="1"/>
  <c r="U391" i="1"/>
  <c r="W339" i="1"/>
  <c r="V315" i="1"/>
  <c r="V335" i="1"/>
  <c r="T263" i="1"/>
  <c r="T259" i="1"/>
  <c r="V183" i="1"/>
  <c r="Y407" i="1"/>
  <c r="W271" i="1"/>
  <c r="Y255" i="1"/>
  <c r="W215" i="1"/>
  <c r="V191" i="1"/>
  <c r="W171" i="1"/>
  <c r="Y119" i="1"/>
  <c r="V143" i="1"/>
  <c r="X107" i="1"/>
  <c r="V71" i="1"/>
  <c r="T347" i="1"/>
  <c r="W255" i="1"/>
  <c r="X199" i="1"/>
  <c r="Y147" i="1"/>
  <c r="T59" i="1"/>
  <c r="X71" i="1"/>
  <c r="Y55" i="6"/>
  <c r="U51" i="8"/>
  <c r="X71" i="6"/>
  <c r="T23" i="6"/>
  <c r="Y87" i="4"/>
  <c r="W75" i="8"/>
  <c r="W19" i="5"/>
  <c r="X15" i="3"/>
  <c r="T39" i="2"/>
  <c r="T91" i="8"/>
  <c r="W43" i="4"/>
  <c r="Y59" i="2"/>
  <c r="X71" i="3"/>
  <c r="T19" i="2"/>
  <c r="T3" i="3"/>
  <c r="U43" i="5"/>
  <c r="W379" i="1"/>
  <c r="Y271" i="1"/>
  <c r="V239" i="1"/>
  <c r="W191" i="1"/>
  <c r="W415" i="1"/>
  <c r="Y347" i="1"/>
  <c r="T271" i="1"/>
  <c r="X215" i="1"/>
  <c r="W167" i="1"/>
  <c r="W203" i="1"/>
  <c r="Y151" i="1"/>
  <c r="T135" i="1"/>
  <c r="U115" i="1"/>
  <c r="V103" i="1"/>
  <c r="Y399" i="1"/>
  <c r="U255" i="1"/>
  <c r="X167" i="1"/>
  <c r="V147" i="1"/>
  <c r="U67" i="1"/>
  <c r="X103" i="1"/>
  <c r="Y63" i="5"/>
  <c r="W67" i="3"/>
  <c r="U47" i="2"/>
  <c r="U35" i="2"/>
  <c r="X7" i="2"/>
  <c r="T51" i="7"/>
  <c r="X63" i="3"/>
  <c r="T31" i="3"/>
  <c r="Y3" i="4"/>
  <c r="U295" i="1"/>
  <c r="W227" i="1"/>
  <c r="V215" i="1"/>
  <c r="W423" i="1"/>
  <c r="T335" i="1"/>
  <c r="V291" i="1"/>
  <c r="T239" i="1"/>
  <c r="U179" i="1"/>
  <c r="V163" i="1"/>
  <c r="X175" i="1"/>
  <c r="X143" i="1"/>
  <c r="Y123" i="1"/>
  <c r="W63" i="1"/>
  <c r="X415" i="1"/>
  <c r="T299" i="1"/>
  <c r="X171" i="1"/>
  <c r="T147" i="1"/>
  <c r="W87" i="1"/>
  <c r="U63" i="1"/>
  <c r="W91" i="4"/>
  <c r="X59" i="2"/>
  <c r="V63" i="5"/>
  <c r="U91" i="4"/>
  <c r="X79" i="8"/>
  <c r="T91" i="4"/>
  <c r="W11" i="2"/>
  <c r="U67" i="3"/>
  <c r="U19" i="2"/>
  <c r="X19" i="3"/>
  <c r="T83" i="8"/>
  <c r="V7" i="2"/>
  <c r="V63" i="4"/>
  <c r="V63" i="8"/>
  <c r="Y75" i="5"/>
  <c r="T23" i="3"/>
  <c r="W443" i="1"/>
  <c r="U311" i="1"/>
  <c r="X291" i="1"/>
  <c r="U251" i="1"/>
  <c r="U431" i="1"/>
  <c r="U367" i="1"/>
  <c r="U303" i="1"/>
  <c r="W235" i="1"/>
  <c r="T243" i="1"/>
  <c r="X179" i="1"/>
  <c r="Y159" i="1"/>
  <c r="U111" i="1"/>
  <c r="Y155" i="1"/>
  <c r="W95" i="1"/>
  <c r="Y463" i="1"/>
  <c r="Y267" i="1"/>
  <c r="Y211" i="1"/>
  <c r="V179" i="1"/>
  <c r="W127" i="1"/>
  <c r="U95" i="1"/>
  <c r="T63" i="1"/>
  <c r="T27" i="3"/>
  <c r="U79" i="8"/>
  <c r="V83" i="2"/>
  <c r="V71" i="3"/>
  <c r="V43" i="8"/>
  <c r="X27" i="2"/>
  <c r="W95" i="4"/>
  <c r="U19" i="7"/>
  <c r="V3" i="2"/>
  <c r="Y71" i="8"/>
  <c r="X47" i="2"/>
  <c r="X83" i="5"/>
  <c r="W91" i="2"/>
  <c r="T23" i="1"/>
  <c r="Y15" i="4"/>
  <c r="V23" i="3"/>
  <c r="Y327" i="1"/>
  <c r="T227" i="1"/>
  <c r="U191" i="1"/>
  <c r="X119" i="1"/>
  <c r="T91" i="1"/>
  <c r="V91" i="1"/>
  <c r="W43" i="5"/>
  <c r="W75" i="5"/>
  <c r="X55" i="6"/>
  <c r="X91" i="4"/>
  <c r="Y79" i="8"/>
  <c r="V63" i="6"/>
  <c r="W31" i="3"/>
  <c r="T95" i="4"/>
  <c r="W35" i="8"/>
  <c r="X23" i="4"/>
  <c r="Y87" i="2"/>
  <c r="Y31" i="3"/>
  <c r="W79" i="7"/>
  <c r="U47" i="3"/>
  <c r="Y23" i="6"/>
  <c r="W43" i="3"/>
  <c r="X27" i="1"/>
  <c r="W7" i="3"/>
  <c r="V71" i="5"/>
  <c r="U423" i="1"/>
  <c r="T407" i="1"/>
  <c r="W299" i="1"/>
  <c r="Y231" i="1"/>
  <c r="V231" i="1"/>
  <c r="U207" i="1"/>
  <c r="W155" i="1"/>
  <c r="X135" i="1"/>
  <c r="Y115" i="1"/>
  <c r="W55" i="1"/>
  <c r="Y87" i="1"/>
  <c r="V99" i="1"/>
  <c r="X55" i="1"/>
  <c r="X79" i="6"/>
  <c r="T91" i="6"/>
  <c r="U67" i="4"/>
  <c r="X31" i="8"/>
  <c r="W59" i="7"/>
  <c r="U35" i="6"/>
  <c r="U3" i="3"/>
  <c r="U15" i="1"/>
  <c r="U83" i="7"/>
  <c r="U39" i="5"/>
  <c r="Y55" i="4"/>
  <c r="V59" i="5"/>
  <c r="U87" i="8"/>
  <c r="X223" i="1"/>
  <c r="Y167" i="1"/>
  <c r="X131" i="1"/>
  <c r="X67" i="1"/>
  <c r="Y27" i="6"/>
  <c r="W31" i="2"/>
  <c r="V43" i="5"/>
  <c r="V67" i="8"/>
  <c r="W267" i="1"/>
  <c r="W139" i="1"/>
  <c r="Y79" i="1"/>
  <c r="W71" i="5"/>
  <c r="V75" i="2"/>
  <c r="X3" i="4"/>
  <c r="W27" i="8"/>
  <c r="U71" i="6"/>
  <c r="X7" i="3"/>
  <c r="V83" i="3"/>
  <c r="U71" i="3"/>
  <c r="Y31" i="1"/>
  <c r="T51" i="3"/>
  <c r="Y339" i="1"/>
  <c r="T215" i="1"/>
  <c r="W163" i="1"/>
  <c r="X115" i="1"/>
  <c r="V63" i="1"/>
  <c r="T79" i="1"/>
  <c r="T91" i="7"/>
  <c r="Y63" i="6"/>
  <c r="U35" i="1"/>
  <c r="W19" i="3"/>
  <c r="X75" i="6"/>
  <c r="U67" i="8"/>
  <c r="T279" i="1"/>
  <c r="U119" i="1"/>
  <c r="U71" i="1"/>
  <c r="X63" i="7"/>
  <c r="W51" i="8"/>
  <c r="V7" i="1"/>
  <c r="T87" i="3"/>
  <c r="U27" i="4"/>
  <c r="Y75" i="8"/>
  <c r="W23" i="2"/>
  <c r="U67" i="6"/>
  <c r="W67" i="6"/>
  <c r="U55" i="2"/>
  <c r="X379" i="1"/>
  <c r="X275" i="1"/>
  <c r="T163" i="1"/>
  <c r="T107" i="1"/>
  <c r="Y75" i="1"/>
  <c r="Y55" i="1"/>
  <c r="W83" i="4"/>
  <c r="U75" i="5"/>
  <c r="Y55" i="3"/>
  <c r="Y51" i="4"/>
  <c r="W23" i="7"/>
  <c r="U35" i="8"/>
  <c r="X23" i="6"/>
  <c r="X47" i="6"/>
  <c r="V15" i="2"/>
  <c r="U71" i="2"/>
  <c r="U51" i="4"/>
  <c r="W23" i="4"/>
  <c r="X91" i="2"/>
  <c r="U95" i="8"/>
  <c r="Y87" i="5"/>
  <c r="T27" i="4"/>
  <c r="U87" i="7"/>
  <c r="Y59" i="7"/>
  <c r="W75" i="3"/>
  <c r="V31" i="7"/>
  <c r="V43" i="7"/>
  <c r="W35" i="2"/>
  <c r="Y51" i="5"/>
  <c r="T59" i="8"/>
  <c r="V11" i="4"/>
  <c r="U63" i="6"/>
  <c r="W43" i="6"/>
  <c r="V51" i="4"/>
  <c r="X19" i="8"/>
  <c r="Y83" i="8"/>
  <c r="Y43" i="2"/>
  <c r="W87" i="3"/>
  <c r="U23" i="4"/>
  <c r="X27" i="5"/>
  <c r="U39" i="2"/>
  <c r="U79" i="7"/>
  <c r="V299" i="1"/>
  <c r="Y127" i="1"/>
  <c r="W75" i="1"/>
  <c r="Y39" i="2"/>
  <c r="X67" i="6"/>
  <c r="W51" i="7"/>
  <c r="Y23" i="5"/>
  <c r="Y35" i="7"/>
  <c r="Y23" i="1"/>
  <c r="X83" i="3"/>
  <c r="V67" i="5"/>
  <c r="Y63" i="2"/>
  <c r="T11" i="3"/>
  <c r="Y79" i="5"/>
  <c r="Y59" i="3"/>
  <c r="X23" i="3"/>
  <c r="U63" i="8"/>
  <c r="U31" i="1"/>
  <c r="W23" i="3"/>
  <c r="V43" i="4"/>
  <c r="X31" i="4"/>
  <c r="V91" i="2"/>
  <c r="W71" i="3"/>
  <c r="X31" i="7"/>
  <c r="V27" i="8"/>
  <c r="U91" i="7"/>
  <c r="V19" i="2"/>
  <c r="W51" i="3"/>
  <c r="V55" i="7"/>
  <c r="Y31" i="2"/>
  <c r="V27" i="4"/>
  <c r="T51" i="4"/>
  <c r="U87" i="4"/>
  <c r="T19" i="1"/>
  <c r="X83" i="2"/>
  <c r="V47" i="1"/>
  <c r="Y15" i="3"/>
  <c r="Y35" i="8"/>
  <c r="U27" i="6"/>
  <c r="X95" i="3"/>
  <c r="U19" i="3"/>
  <c r="Y95" i="7"/>
  <c r="V67" i="6"/>
  <c r="Y71" i="7"/>
  <c r="T47" i="7"/>
  <c r="Y95" i="2"/>
  <c r="Y39" i="4"/>
  <c r="X23" i="2"/>
  <c r="Y43" i="3"/>
  <c r="T95" i="8"/>
  <c r="Y31" i="8"/>
  <c r="U59" i="7"/>
  <c r="Y83" i="6"/>
  <c r="W319" i="1"/>
  <c r="U159" i="1"/>
  <c r="X59" i="1"/>
  <c r="W35" i="5"/>
  <c r="X75" i="5"/>
  <c r="X43" i="1"/>
  <c r="U27" i="8"/>
  <c r="T11" i="4"/>
  <c r="W19" i="4"/>
  <c r="T87" i="8"/>
  <c r="X47" i="4"/>
  <c r="T423" i="1"/>
  <c r="U187" i="1"/>
  <c r="X147" i="1"/>
  <c r="X87" i="5"/>
  <c r="W71" i="7"/>
  <c r="X43" i="2"/>
  <c r="W35" i="4"/>
  <c r="V27" i="1"/>
  <c r="X19" i="4"/>
  <c r="X55" i="8"/>
  <c r="U35" i="7"/>
  <c r="Y83" i="3"/>
  <c r="U51" i="6"/>
  <c r="W407" i="1"/>
  <c r="V267" i="1"/>
  <c r="X187" i="1"/>
  <c r="Y111" i="1"/>
  <c r="U99" i="1"/>
  <c r="W67" i="1"/>
  <c r="X7" i="1"/>
  <c r="W71" i="8"/>
  <c r="W67" i="7"/>
  <c r="Y67" i="5"/>
  <c r="X43" i="6"/>
  <c r="U27" i="3"/>
  <c r="X7" i="4"/>
  <c r="V199" i="1"/>
  <c r="W103" i="1"/>
  <c r="X79" i="1"/>
  <c r="W31" i="5"/>
  <c r="Y47" i="3"/>
  <c r="T87" i="4"/>
  <c r="Y19" i="7"/>
  <c r="V83" i="7"/>
  <c r="U51" i="3"/>
  <c r="T11" i="2"/>
  <c r="Y75" i="7"/>
  <c r="Y35" i="5"/>
  <c r="Y7" i="1"/>
  <c r="Y291" i="1"/>
  <c r="U235" i="1"/>
  <c r="T191" i="1"/>
  <c r="U139" i="1"/>
  <c r="U103" i="1"/>
  <c r="V67" i="1"/>
  <c r="V71" i="7"/>
  <c r="X35" i="5"/>
  <c r="T43" i="6"/>
  <c r="X39" i="7"/>
  <c r="X59" i="7"/>
  <c r="V79" i="7"/>
  <c r="X51" i="1"/>
  <c r="Y67" i="3"/>
  <c r="T83" i="2"/>
  <c r="W35" i="1"/>
  <c r="W47" i="6"/>
  <c r="W59" i="8"/>
  <c r="V47" i="5"/>
  <c r="V83" i="6"/>
  <c r="W39" i="2"/>
  <c r="T19" i="6"/>
  <c r="V43" i="1"/>
  <c r="V83" i="8"/>
  <c r="Y91" i="3"/>
  <c r="X67" i="5"/>
  <c r="X39" i="8"/>
  <c r="X35" i="8"/>
  <c r="V91" i="3"/>
  <c r="W87" i="7"/>
  <c r="W11" i="3"/>
  <c r="Y67" i="6"/>
  <c r="Y31" i="4"/>
  <c r="Y19" i="8"/>
  <c r="Y87" i="8"/>
  <c r="X43" i="5"/>
  <c r="W23" i="5"/>
  <c r="X43" i="4"/>
  <c r="Y47" i="8"/>
  <c r="T23" i="5"/>
  <c r="V39" i="6"/>
  <c r="Y435" i="1"/>
  <c r="Y163" i="1"/>
  <c r="V127" i="1"/>
  <c r="U7" i="4"/>
  <c r="Y71" i="3"/>
  <c r="Y55" i="8"/>
  <c r="T35" i="3"/>
  <c r="T75" i="6"/>
  <c r="Y35" i="4"/>
  <c r="Y83" i="7"/>
  <c r="W95" i="6"/>
  <c r="T47" i="8"/>
  <c r="T27" i="5"/>
  <c r="U31" i="2"/>
  <c r="V27" i="2"/>
  <c r="W31" i="6"/>
  <c r="T31" i="2"/>
  <c r="X71" i="5"/>
  <c r="X95" i="5"/>
  <c r="U83" i="4"/>
  <c r="Y43" i="5"/>
  <c r="W63" i="4"/>
  <c r="T47" i="3"/>
  <c r="V59" i="7"/>
  <c r="W55" i="4"/>
  <c r="V51" i="8"/>
  <c r="X55" i="4"/>
  <c r="V31" i="4"/>
  <c r="V7" i="4"/>
  <c r="V51" i="5"/>
  <c r="U3" i="4"/>
  <c r="U59" i="2"/>
  <c r="V51" i="1"/>
  <c r="V55" i="2"/>
  <c r="Y47" i="6"/>
  <c r="X91" i="6"/>
  <c r="T19" i="4"/>
  <c r="X15" i="4"/>
  <c r="V55" i="4"/>
  <c r="U39" i="3"/>
  <c r="Y47" i="2"/>
  <c r="T27" i="8"/>
  <c r="T79" i="6"/>
  <c r="U47" i="4"/>
  <c r="W67" i="4"/>
  <c r="V71" i="8"/>
  <c r="V35" i="8"/>
  <c r="T31" i="6"/>
  <c r="T55" i="2"/>
  <c r="X39" i="4"/>
  <c r="T71" i="5"/>
  <c r="V79" i="3"/>
  <c r="T95" i="2"/>
  <c r="X71" i="8"/>
  <c r="X227" i="1"/>
  <c r="U155" i="1"/>
  <c r="V75" i="1"/>
  <c r="X63" i="4"/>
  <c r="T7" i="3"/>
  <c r="W43" i="7"/>
  <c r="T3" i="4"/>
  <c r="T55" i="6"/>
  <c r="V95" i="2"/>
  <c r="V91" i="4"/>
  <c r="U79" i="3"/>
  <c r="T31" i="7"/>
  <c r="U95" i="7"/>
  <c r="T39" i="1"/>
  <c r="U47" i="6"/>
  <c r="U15" i="3"/>
  <c r="X463" i="1"/>
  <c r="W243" i="1"/>
  <c r="T159" i="1"/>
  <c r="T143" i="1"/>
  <c r="Y59" i="1"/>
  <c r="T103" i="1"/>
  <c r="W19" i="7"/>
  <c r="U11" i="1"/>
  <c r="U75" i="8"/>
  <c r="Y35" i="2"/>
  <c r="Y23" i="4"/>
  <c r="X71" i="7"/>
  <c r="X79" i="2"/>
  <c r="V51" i="7"/>
  <c r="Y39" i="1"/>
  <c r="Y83" i="2"/>
  <c r="V319" i="1"/>
  <c r="X255" i="1"/>
  <c r="Y183" i="1"/>
  <c r="V115" i="1"/>
  <c r="X83" i="1"/>
  <c r="X87" i="1"/>
  <c r="T67" i="7"/>
  <c r="U43" i="1"/>
  <c r="W11" i="4"/>
  <c r="U95" i="6"/>
  <c r="V87" i="2"/>
  <c r="W47" i="3"/>
  <c r="U91" i="8"/>
  <c r="U55" i="5"/>
  <c r="X87" i="4"/>
  <c r="X59" i="4"/>
  <c r="T79" i="7"/>
  <c r="U39" i="1"/>
  <c r="Y43" i="1"/>
  <c r="W39" i="6"/>
  <c r="V95" i="6"/>
  <c r="U27" i="2"/>
  <c r="T95" i="3"/>
  <c r="W11" i="1"/>
  <c r="W55" i="3"/>
  <c r="Y95" i="8"/>
  <c r="X87" i="8"/>
  <c r="X35" i="2"/>
  <c r="T15" i="2"/>
  <c r="W39" i="7"/>
  <c r="W35" i="7"/>
  <c r="T27" i="2"/>
  <c r="W87" i="5"/>
  <c r="V51" i="3"/>
  <c r="X51" i="2"/>
  <c r="V23" i="5"/>
  <c r="U39" i="7"/>
  <c r="X67" i="4"/>
  <c r="V87" i="7"/>
  <c r="V27" i="6"/>
  <c r="U47" i="8"/>
  <c r="W27" i="2"/>
  <c r="T247" i="1"/>
  <c r="T111" i="1"/>
  <c r="T87" i="1"/>
  <c r="V55" i="3"/>
  <c r="T31" i="4"/>
  <c r="U15" i="4"/>
  <c r="Y51" i="3"/>
  <c r="Y27" i="5"/>
  <c r="Y19" i="1"/>
  <c r="U47" i="7"/>
  <c r="T27" i="6"/>
  <c r="U91" i="5"/>
  <c r="Y39" i="6"/>
  <c r="Y3" i="1"/>
  <c r="Y51" i="8"/>
  <c r="W91" i="3"/>
  <c r="W59" i="5"/>
  <c r="V83" i="5"/>
  <c r="U43" i="4"/>
  <c r="T71" i="8"/>
  <c r="U7" i="1"/>
  <c r="U27" i="5"/>
  <c r="W47" i="8"/>
  <c r="Y63" i="8"/>
  <c r="Y83" i="5"/>
  <c r="W83" i="5"/>
  <c r="T15" i="1"/>
  <c r="T19" i="7"/>
  <c r="T87" i="2"/>
  <c r="U7" i="2"/>
  <c r="T7" i="4"/>
  <c r="T19" i="3"/>
  <c r="T67" i="6"/>
  <c r="V47" i="6"/>
  <c r="X19" i="1"/>
  <c r="X83" i="8"/>
  <c r="Y11" i="3"/>
  <c r="Y35" i="6"/>
  <c r="U59" i="3"/>
  <c r="T71" i="2"/>
  <c r="U15" i="2"/>
  <c r="Y39" i="8"/>
  <c r="Y11" i="4"/>
  <c r="T79" i="3"/>
  <c r="W31" i="8"/>
  <c r="V31" i="6"/>
  <c r="U31" i="3"/>
  <c r="U91" i="2"/>
  <c r="V47" i="7"/>
  <c r="T251" i="1"/>
  <c r="U123" i="1"/>
  <c r="V59" i="1"/>
  <c r="T7" i="2"/>
  <c r="W7" i="2"/>
  <c r="W75" i="7"/>
  <c r="X51" i="5"/>
  <c r="U459" i="1"/>
  <c r="W175" i="1"/>
  <c r="V135" i="1"/>
  <c r="W87" i="8"/>
  <c r="T59" i="3"/>
  <c r="Y91" i="2"/>
  <c r="Y19" i="4"/>
  <c r="V7" i="3"/>
  <c r="U35" i="4"/>
  <c r="Y27" i="1"/>
  <c r="X35" i="1"/>
  <c r="V3" i="3"/>
  <c r="X11" i="4"/>
  <c r="V31" i="3"/>
  <c r="X11" i="2"/>
  <c r="Y27" i="2"/>
  <c r="U63" i="7"/>
  <c r="W63" i="8"/>
  <c r="T91" i="2"/>
  <c r="X91" i="3"/>
  <c r="T39" i="6"/>
  <c r="V347" i="1"/>
  <c r="V79" i="1"/>
  <c r="Y3" i="2"/>
  <c r="U75" i="6"/>
  <c r="W63" i="3"/>
  <c r="Y27" i="7"/>
  <c r="Y47" i="4"/>
  <c r="V59" i="8"/>
  <c r="X59" i="8"/>
  <c r="U67" i="7"/>
  <c r="W83" i="7"/>
  <c r="T51" i="6"/>
  <c r="T59" i="5"/>
  <c r="W79" i="6"/>
  <c r="T83" i="7"/>
  <c r="W79" i="5"/>
  <c r="U51" i="1"/>
  <c r="V95" i="7"/>
  <c r="X19" i="6"/>
  <c r="W23" i="6"/>
  <c r="Y199" i="1"/>
  <c r="T35" i="7"/>
  <c r="T79" i="5"/>
  <c r="Y23" i="7"/>
  <c r="X51" i="3"/>
  <c r="T83" i="3"/>
  <c r="T39" i="3"/>
  <c r="V27" i="7"/>
  <c r="Y35" i="1"/>
  <c r="U83" i="2"/>
  <c r="Y71" i="5"/>
  <c r="U387" i="1"/>
  <c r="T179" i="1"/>
  <c r="Y91" i="1"/>
  <c r="U23" i="5"/>
  <c r="X35" i="3"/>
  <c r="V39" i="3"/>
  <c r="U3" i="2"/>
  <c r="X35" i="4"/>
  <c r="W67" i="8"/>
  <c r="U83" i="5"/>
  <c r="X3" i="3"/>
  <c r="Y23" i="3"/>
  <c r="Y31" i="6"/>
  <c r="V75" i="7"/>
  <c r="T15" i="3"/>
  <c r="Y47" i="7"/>
  <c r="V47" i="8"/>
  <c r="T63" i="3"/>
  <c r="V59" i="2"/>
  <c r="X55" i="3"/>
  <c r="U27" i="1"/>
  <c r="V31" i="2"/>
  <c r="X43" i="8"/>
  <c r="Y63" i="7"/>
  <c r="U79" i="5"/>
  <c r="X91" i="7"/>
  <c r="V31" i="5"/>
  <c r="W71" i="6"/>
  <c r="T55" i="3"/>
  <c r="T39" i="4"/>
  <c r="X63" i="5"/>
  <c r="T79" i="2"/>
  <c r="T7" i="1"/>
  <c r="T47" i="6"/>
  <c r="T23" i="2"/>
  <c r="U79" i="2"/>
  <c r="Y51" i="2"/>
  <c r="T3" i="2"/>
  <c r="W59" i="4"/>
  <c r="W63" i="6"/>
  <c r="V11" i="2"/>
  <c r="U223" i="1"/>
  <c r="W111" i="1"/>
  <c r="T55" i="1"/>
  <c r="V59" i="4"/>
  <c r="U23" i="2"/>
  <c r="V43" i="2"/>
  <c r="T43" i="7"/>
  <c r="U51" i="7"/>
  <c r="V31" i="8"/>
  <c r="U63" i="3"/>
  <c r="V39" i="8"/>
  <c r="W19" i="6"/>
  <c r="Y95" i="3"/>
  <c r="U11" i="4"/>
  <c r="W47" i="5"/>
  <c r="Y59" i="5"/>
  <c r="Y95" i="5"/>
  <c r="W279" i="1"/>
  <c r="X183" i="1"/>
  <c r="W99" i="1"/>
  <c r="U23" i="1"/>
  <c r="T23" i="7"/>
  <c r="X95" i="2"/>
  <c r="T71" i="7"/>
  <c r="T83" i="6"/>
  <c r="X67" i="3"/>
  <c r="U63" i="5"/>
  <c r="V35" i="4"/>
  <c r="X91" i="5"/>
  <c r="U3" i="1"/>
  <c r="W27" i="4"/>
  <c r="V79" i="2"/>
  <c r="U67" i="2"/>
  <c r="Y87" i="7"/>
  <c r="W83" i="6"/>
  <c r="V11" i="1"/>
  <c r="U95" i="4"/>
  <c r="W35" i="6"/>
  <c r="V95" i="3"/>
  <c r="T35" i="5"/>
  <c r="V35" i="7"/>
  <c r="X31" i="1"/>
  <c r="W43" i="1"/>
  <c r="V15" i="1"/>
  <c r="Y91" i="4"/>
  <c r="T87" i="7"/>
  <c r="U43" i="3"/>
  <c r="X47" i="3"/>
  <c r="V23" i="6"/>
  <c r="W23" i="1"/>
  <c r="V43" i="6"/>
  <c r="Y91" i="6"/>
  <c r="T19" i="5"/>
  <c r="X51" i="7"/>
  <c r="X39" i="5"/>
  <c r="T67" i="5"/>
  <c r="V71" i="2"/>
  <c r="V67" i="3"/>
  <c r="Y35" i="3"/>
  <c r="T39" i="8"/>
  <c r="V87" i="5"/>
  <c r="V63" i="7"/>
  <c r="U7" i="3"/>
  <c r="V59" i="6"/>
  <c r="U19" i="1"/>
  <c r="X55" i="5"/>
  <c r="T51" i="2"/>
  <c r="U35" i="5"/>
  <c r="U75" i="3"/>
  <c r="Y59" i="4"/>
  <c r="Y15" i="2"/>
  <c r="U83" i="6"/>
  <c r="W51" i="5"/>
  <c r="Y43" i="7"/>
  <c r="U31" i="5"/>
  <c r="X99" i="1"/>
  <c r="T175" i="1"/>
  <c r="W91" i="1"/>
  <c r="V75" i="5"/>
  <c r="V95" i="4"/>
  <c r="V95" i="5"/>
  <c r="U55" i="4"/>
  <c r="X15" i="2"/>
  <c r="T311" i="1"/>
  <c r="U135" i="1"/>
  <c r="U79" i="1"/>
  <c r="T87" i="5"/>
  <c r="W95" i="7"/>
  <c r="X67" i="8"/>
  <c r="X31" i="5"/>
  <c r="T27" i="7"/>
  <c r="T51" i="5"/>
  <c r="V27" i="3"/>
  <c r="Y23" i="8"/>
  <c r="V87" i="4"/>
  <c r="T35" i="2"/>
  <c r="X47" i="1"/>
  <c r="W59" i="2"/>
  <c r="W51" i="6"/>
  <c r="X27" i="7"/>
  <c r="T67" i="8"/>
  <c r="X47" i="8"/>
  <c r="V91" i="7"/>
  <c r="Y7" i="2"/>
  <c r="W179" i="1"/>
  <c r="W91" i="6"/>
  <c r="T47" i="4"/>
  <c r="T31" i="8"/>
  <c r="X95" i="4"/>
  <c r="W51" i="4"/>
  <c r="U23" i="7"/>
  <c r="T67" i="4"/>
  <c r="Y51" i="1"/>
  <c r="Y27" i="3"/>
  <c r="W55" i="6"/>
  <c r="Y67" i="2"/>
  <c r="V91" i="5"/>
  <c r="U59" i="4"/>
  <c r="U55" i="6"/>
  <c r="V39" i="5"/>
  <c r="W55" i="5"/>
  <c r="Y23" i="2"/>
  <c r="X75" i="2"/>
  <c r="W15" i="1"/>
  <c r="Y95" i="4"/>
  <c r="W59" i="3"/>
  <c r="T67" i="2"/>
  <c r="X83" i="4"/>
  <c r="W95" i="8"/>
  <c r="Y95" i="6"/>
  <c r="U59" i="6"/>
  <c r="V35" i="6"/>
  <c r="V43" i="3"/>
  <c r="U39" i="4"/>
  <c r="T95" i="6"/>
  <c r="X307" i="1"/>
  <c r="W107" i="1"/>
  <c r="Y63" i="1"/>
  <c r="U39" i="8"/>
  <c r="X67" i="2"/>
  <c r="W15" i="3"/>
  <c r="W67" i="5"/>
  <c r="X23" i="7"/>
  <c r="T55" i="5"/>
  <c r="V87" i="6"/>
  <c r="T55" i="4"/>
  <c r="U23" i="3"/>
  <c r="U47" i="5"/>
  <c r="X11" i="1"/>
  <c r="V47" i="4"/>
  <c r="V87" i="3"/>
  <c r="V67" i="7"/>
  <c r="X11" i="3"/>
  <c r="V23" i="7"/>
  <c r="T83" i="4"/>
  <c r="V31" i="1"/>
  <c r="W63" i="5"/>
  <c r="Y19" i="3"/>
  <c r="Y59" i="6"/>
  <c r="V95" i="8"/>
  <c r="W23" i="8"/>
  <c r="V51" i="6"/>
  <c r="X79" i="3"/>
  <c r="W63" i="2"/>
  <c r="U71" i="8"/>
  <c r="T91" i="5"/>
  <c r="X31" i="6"/>
  <c r="X27" i="4"/>
  <c r="W35" i="3"/>
  <c r="W7" i="1"/>
  <c r="T75" i="5"/>
  <c r="V3" i="4"/>
  <c r="X71" i="2"/>
  <c r="X79" i="5"/>
  <c r="Y79" i="3"/>
  <c r="X383" i="1"/>
  <c r="U151" i="1"/>
  <c r="U87" i="1"/>
  <c r="U55" i="7"/>
  <c r="T63" i="6"/>
  <c r="T59" i="2"/>
  <c r="Y47" i="1"/>
  <c r="X87" i="3"/>
  <c r="V67" i="2"/>
  <c r="Y15" i="1"/>
  <c r="Y67" i="4"/>
  <c r="X19" i="2"/>
  <c r="U83" i="8"/>
  <c r="T91" i="3"/>
  <c r="W47" i="4"/>
  <c r="W3" i="1"/>
  <c r="X23" i="8"/>
  <c r="Y3" i="3"/>
  <c r="W223" i="1"/>
  <c r="Y131" i="1"/>
  <c r="X63" i="1"/>
  <c r="T43" i="3"/>
  <c r="W91" i="5"/>
  <c r="U95" i="3"/>
  <c r="W63" i="7"/>
  <c r="W3" i="4"/>
  <c r="T31" i="1"/>
  <c r="Y79" i="2"/>
  <c r="Y27" i="8"/>
  <c r="V19" i="4"/>
  <c r="V3" i="1"/>
  <c r="T55" i="7"/>
  <c r="T51" i="1"/>
  <c r="Y67" i="7"/>
  <c r="X55" i="2"/>
  <c r="U31" i="6"/>
  <c r="W27" i="6"/>
  <c r="T35" i="4"/>
  <c r="W39" i="3"/>
  <c r="T63" i="4"/>
  <c r="V35" i="5"/>
  <c r="V19" i="1"/>
  <c r="T43" i="5"/>
  <c r="Y51" i="7"/>
  <c r="Y19" i="6"/>
  <c r="U91" i="3"/>
  <c r="X31" i="3"/>
  <c r="V39" i="4"/>
  <c r="U11" i="2"/>
  <c r="U31" i="4"/>
  <c r="T3" i="1"/>
  <c r="W51" i="1"/>
  <c r="T71" i="3"/>
  <c r="X75" i="7"/>
  <c r="X47" i="5"/>
  <c r="U71" i="7"/>
  <c r="V55" i="5"/>
  <c r="W27" i="5"/>
  <c r="X19" i="7"/>
  <c r="Y43" i="4"/>
  <c r="X3" i="1"/>
  <c r="W27" i="1"/>
  <c r="X23" i="5"/>
  <c r="Y39" i="3"/>
  <c r="U91" i="6"/>
  <c r="X23" i="1"/>
  <c r="W3" i="2"/>
  <c r="T11" i="1"/>
  <c r="T47" i="2"/>
  <c r="W31" i="1"/>
  <c r="T63" i="2"/>
  <c r="W39" i="4"/>
  <c r="Y79" i="6"/>
  <c r="U75" i="2"/>
  <c r="X47" i="7"/>
  <c r="T47" i="1"/>
  <c r="U27" i="7"/>
  <c r="U87" i="5"/>
  <c r="X51" i="8"/>
  <c r="V91" i="8"/>
  <c r="X43" i="3"/>
  <c r="V15" i="3"/>
  <c r="T35" i="1"/>
  <c r="U31" i="8"/>
  <c r="V63" i="2"/>
  <c r="W27" i="3"/>
  <c r="V23" i="4"/>
  <c r="Y87" i="6"/>
  <c r="W67" i="2"/>
  <c r="Y59" i="8"/>
  <c r="U19" i="5"/>
  <c r="Y287" i="1"/>
  <c r="V131" i="1"/>
  <c r="T19" i="8"/>
  <c r="Y71" i="6"/>
  <c r="X83" i="6"/>
  <c r="T35" i="8"/>
  <c r="U31" i="7"/>
  <c r="U43" i="6"/>
  <c r="V59" i="3"/>
  <c r="V23" i="2"/>
  <c r="T267" i="1"/>
  <c r="U55" i="1"/>
  <c r="W87" i="2"/>
  <c r="V75" i="3"/>
  <c r="U23" i="6"/>
  <c r="V55" i="6"/>
  <c r="X87" i="7"/>
  <c r="W39" i="5"/>
  <c r="T15" i="4"/>
  <c r="V47" i="2"/>
  <c r="X55" i="7"/>
  <c r="Y55" i="5"/>
  <c r="X27" i="6"/>
  <c r="Y87" i="3"/>
  <c r="T95" i="5"/>
  <c r="V19" i="7"/>
  <c r="T375" i="1"/>
  <c r="W71" i="1"/>
  <c r="T43" i="4"/>
  <c r="V79" i="5"/>
  <c r="T75" i="7"/>
  <c r="T39" i="5"/>
  <c r="T27" i="1"/>
  <c r="W47" i="2"/>
  <c r="V87" i="8"/>
  <c r="Y51" i="6"/>
  <c r="V35" i="2"/>
  <c r="U43" i="7"/>
  <c r="W55" i="2"/>
  <c r="U67" i="5"/>
  <c r="X67" i="7"/>
  <c r="W31" i="7"/>
  <c r="Y19" i="5"/>
  <c r="W55" i="8"/>
  <c r="V79" i="8"/>
  <c r="V39" i="7"/>
  <c r="Y43" i="8"/>
  <c r="V47" i="3"/>
  <c r="V51" i="2"/>
  <c r="Y31" i="7"/>
  <c r="T71" i="6"/>
  <c r="V11" i="3"/>
  <c r="W51" i="2"/>
  <c r="V71" i="6"/>
  <c r="X31" i="2"/>
  <c r="Y47" i="5"/>
  <c r="W95" i="3"/>
  <c r="X27" i="8"/>
  <c r="T55" i="8"/>
  <c r="U51" i="5"/>
  <c r="W75" i="6"/>
  <c r="W43" i="2"/>
  <c r="W39" i="8"/>
  <c r="V19" i="6"/>
  <c r="T75" i="3"/>
  <c r="T63" i="8"/>
  <c r="W31" i="4"/>
  <c r="W83" i="8"/>
  <c r="W27" i="7"/>
  <c r="W47" i="1"/>
  <c r="V91" i="6"/>
  <c r="X39" i="3"/>
  <c r="X95" i="6"/>
  <c r="Y75" i="6"/>
  <c r="X91" i="8"/>
  <c r="X51" i="6"/>
  <c r="U19" i="4"/>
  <c r="U87" i="3"/>
  <c r="U75" i="7"/>
  <c r="X87" i="2"/>
  <c r="T47" i="5"/>
  <c r="U43" i="8"/>
  <c r="W43" i="8"/>
  <c r="Y27" i="4"/>
  <c r="T75" i="2"/>
  <c r="X95" i="7"/>
  <c r="U59" i="8"/>
  <c r="U95" i="5"/>
  <c r="Y7" i="4"/>
  <c r="Y39" i="5"/>
  <c r="T43" i="2"/>
  <c r="Y91" i="8"/>
  <c r="Y91" i="7"/>
  <c r="W87" i="4"/>
  <c r="T79" i="8"/>
  <c r="V15" i="4"/>
  <c r="T43" i="8"/>
  <c r="T87" i="6"/>
  <c r="U83" i="3"/>
  <c r="T63" i="7"/>
  <c r="V35" i="1"/>
  <c r="V19" i="3"/>
  <c r="T95" i="7"/>
  <c r="U95" i="2"/>
  <c r="U71" i="5"/>
  <c r="W91" i="7"/>
  <c r="W15" i="2"/>
  <c r="W207" i="1"/>
  <c r="X95" i="1"/>
  <c r="W79" i="2"/>
  <c r="X63" i="8"/>
  <c r="U87" i="6"/>
  <c r="W91" i="8"/>
  <c r="X79" i="7"/>
  <c r="X151" i="1"/>
  <c r="Y63" i="4"/>
  <c r="Y67" i="8"/>
  <c r="V27" i="5"/>
  <c r="W47" i="7"/>
  <c r="U23" i="8"/>
  <c r="U63" i="2"/>
  <c r="X39" i="2"/>
  <c r="X35" i="7"/>
  <c r="T59" i="6"/>
  <c r="X27" i="3"/>
  <c r="T207" i="1"/>
  <c r="T43" i="1"/>
  <c r="V19" i="8"/>
  <c r="X59" i="6"/>
  <c r="W3" i="3"/>
  <c r="X3" i="2"/>
  <c r="V39" i="1"/>
  <c r="T83" i="5"/>
  <c r="X95" i="8"/>
  <c r="T59" i="4"/>
  <c r="T39" i="7"/>
  <c r="W19" i="8"/>
  <c r="U47" i="1"/>
  <c r="T75" i="8"/>
  <c r="U79" i="6"/>
  <c r="T31" i="5"/>
  <c r="W55" i="7"/>
  <c r="T35" i="6"/>
  <c r="T67" i="3"/>
  <c r="X59" i="3"/>
  <c r="T63" i="5"/>
  <c r="U55" i="3"/>
  <c r="U11" i="3"/>
  <c r="V75" i="6"/>
  <c r="V67" i="4"/>
  <c r="X35" i="6"/>
  <c r="W39" i="1"/>
  <c r="X39" i="6"/>
  <c r="W351" i="1"/>
  <c r="V351" i="1"/>
  <c r="X351" i="1"/>
  <c r="T351" i="1"/>
  <c r="U351" i="1"/>
  <c r="Y351" i="1"/>
  <c r="U195" i="1"/>
  <c r="X195" i="1"/>
  <c r="T195" i="1"/>
  <c r="W195" i="1"/>
  <c r="V195" i="1"/>
  <c r="Y195" i="1"/>
  <c r="AB39" i="7"/>
  <c r="AB31" i="7"/>
  <c r="AD3" i="10"/>
  <c r="AK3" i="10"/>
  <c r="AB47" i="5"/>
  <c r="AB23" i="3"/>
  <c r="AK6" i="10"/>
  <c r="AI6" i="10"/>
  <c r="AJ5" i="10"/>
  <c r="AB23" i="5"/>
  <c r="AB7" i="3"/>
  <c r="AI5" i="10"/>
  <c r="AJ4" i="10"/>
  <c r="AB35" i="5"/>
  <c r="AB79" i="3"/>
  <c r="AB75" i="3"/>
  <c r="AF5" i="10"/>
  <c r="AE6" i="10"/>
  <c r="AB19" i="7"/>
  <c r="AB67" i="3"/>
  <c r="AI4" i="10"/>
  <c r="AB11" i="3"/>
  <c r="AB51" i="5"/>
  <c r="AB19" i="5"/>
  <c r="AB59" i="3"/>
  <c r="AF4" i="10"/>
  <c r="AE5" i="10"/>
  <c r="AB3" i="3"/>
  <c r="AB19" i="3"/>
  <c r="AF6" i="10"/>
  <c r="AG3" i="10"/>
  <c r="AE4" i="10"/>
  <c r="AB27" i="3"/>
  <c r="AB39" i="3"/>
  <c r="AI3" i="10"/>
  <c r="AL6" i="10"/>
  <c r="AB43" i="7"/>
  <c r="AB23" i="7"/>
  <c r="AD6" i="10"/>
  <c r="AD4" i="10"/>
  <c r="AG6" i="10"/>
  <c r="AB47" i="7"/>
  <c r="AB27" i="7"/>
  <c r="AJ3" i="10"/>
  <c r="AD5" i="10"/>
  <c r="AB31" i="3"/>
  <c r="AB47" i="3"/>
  <c r="AB51" i="3"/>
  <c r="AK5" i="10"/>
  <c r="AC60" i="5"/>
  <c r="AB71" i="3"/>
  <c r="AB43" i="5"/>
  <c r="AE3" i="10"/>
  <c r="AK4" i="10"/>
  <c r="AB63" i="3"/>
  <c r="AB35" i="3"/>
  <c r="AB55" i="3"/>
  <c r="AC60" i="7"/>
  <c r="AG4" i="10"/>
  <c r="AB35" i="7"/>
  <c r="AB51" i="7"/>
  <c r="AJ6" i="10"/>
  <c r="AF3" i="10"/>
  <c r="AB31" i="5"/>
  <c r="AB43" i="3"/>
  <c r="AB27" i="5"/>
  <c r="AL3" i="10"/>
  <c r="AL4" i="10"/>
  <c r="AB15" i="3"/>
  <c r="AB39" i="5"/>
  <c r="AG5" i="10"/>
  <c r="AL5" i="10"/>
  <c r="AC59" i="5" l="1"/>
  <c r="AC58" i="5"/>
  <c r="AC61" i="5"/>
  <c r="AC59" i="7"/>
  <c r="AC58" i="7"/>
  <c r="R113" i="7"/>
  <c r="R114" i="7" s="1"/>
  <c r="R108" i="7"/>
  <c r="R106" i="7"/>
  <c r="R107" i="7" s="1"/>
  <c r="C51" i="16" s="1"/>
  <c r="J106" i="6"/>
  <c r="J113" i="6"/>
  <c r="R114" i="6" s="1"/>
  <c r="F38" i="9" s="1"/>
  <c r="J108" i="6"/>
  <c r="J113" i="8"/>
  <c r="J106" i="8"/>
  <c r="J108" i="8"/>
  <c r="J106" i="3"/>
  <c r="J108" i="3"/>
  <c r="J113" i="3"/>
  <c r="R106" i="6"/>
  <c r="R107" i="6" s="1"/>
  <c r="F38" i="16" s="1"/>
  <c r="R108" i="6"/>
  <c r="J106" i="5"/>
  <c r="J108" i="5"/>
  <c r="J113" i="5"/>
  <c r="R113" i="5"/>
  <c r="R108" i="5"/>
  <c r="R106" i="5"/>
  <c r="R106" i="3"/>
  <c r="R107" i="3" s="1"/>
  <c r="C25" i="16" s="1"/>
  <c r="R108" i="3"/>
  <c r="R113" i="3"/>
  <c r="R114" i="3" s="1"/>
  <c r="C25" i="9" s="1"/>
  <c r="J113" i="2"/>
  <c r="J106" i="2"/>
  <c r="AA35" i="3"/>
  <c r="AB61" i="5"/>
  <c r="AB60" i="5"/>
  <c r="AB58" i="5"/>
  <c r="J113" i="7"/>
  <c r="R113" i="8"/>
  <c r="R114" i="8" s="1"/>
  <c r="R108" i="8"/>
  <c r="R106" i="8"/>
  <c r="R107" i="8" s="1"/>
  <c r="F51" i="16" s="1"/>
  <c r="R113" i="2"/>
  <c r="R114" i="2" s="1"/>
  <c r="F12" i="9" s="1"/>
  <c r="R106" i="2"/>
  <c r="R107" i="2" s="1"/>
  <c r="F12" i="16" s="1"/>
  <c r="R108" i="2"/>
  <c r="J106" i="4"/>
  <c r="J113" i="4"/>
  <c r="R113" i="4"/>
  <c r="R114" i="4" s="1"/>
  <c r="F25" i="9" s="1"/>
  <c r="R108" i="4"/>
  <c r="R106" i="4"/>
  <c r="R107" i="4" s="1"/>
  <c r="F25" i="16" s="1"/>
  <c r="AB58" i="7"/>
  <c r="AB60" i="7"/>
  <c r="T103" i="2"/>
  <c r="Y105" i="3"/>
  <c r="E24" i="16" s="1"/>
  <c r="Y112" i="3"/>
  <c r="E23" i="9" s="1"/>
  <c r="Y99" i="3"/>
  <c r="Y111" i="3"/>
  <c r="X103" i="8"/>
  <c r="U105" i="5"/>
  <c r="D36" i="16" s="1"/>
  <c r="U112" i="5"/>
  <c r="D35" i="9" s="1"/>
  <c r="U100" i="5"/>
  <c r="U101" i="3"/>
  <c r="V102" i="5"/>
  <c r="W101" i="8"/>
  <c r="V101" i="7"/>
  <c r="E45" i="16" s="1"/>
  <c r="V102" i="4"/>
  <c r="Y104" i="6"/>
  <c r="U103" i="7"/>
  <c r="D47" i="16" s="1"/>
  <c r="X103" i="2"/>
  <c r="Y103" i="5"/>
  <c r="T105" i="2"/>
  <c r="F10" i="16" s="1"/>
  <c r="T112" i="2"/>
  <c r="F9" i="9" s="1"/>
  <c r="T99" i="2"/>
  <c r="T111" i="2"/>
  <c r="W105" i="2"/>
  <c r="F11" i="16" s="1"/>
  <c r="W112" i="2"/>
  <c r="F10" i="9" s="1"/>
  <c r="W99" i="2"/>
  <c r="W111" i="2"/>
  <c r="V112" i="4"/>
  <c r="H22" i="9" s="1"/>
  <c r="V105" i="4"/>
  <c r="H23" i="16" s="1"/>
  <c r="V111" i="4"/>
  <c r="V99" i="4"/>
  <c r="X105" i="6"/>
  <c r="G37" i="16" s="1"/>
  <c r="X100" i="6"/>
  <c r="X112" i="6"/>
  <c r="G36" i="9" s="1"/>
  <c r="T100" i="4"/>
  <c r="U103" i="5"/>
  <c r="X104" i="8"/>
  <c r="U101" i="4"/>
  <c r="V103" i="2"/>
  <c r="Y101" i="5"/>
  <c r="T103" i="6"/>
  <c r="X104" i="2"/>
  <c r="V100" i="7"/>
  <c r="E44" i="16" s="1"/>
  <c r="V112" i="7"/>
  <c r="V105" i="7"/>
  <c r="E49" i="16" s="1"/>
  <c r="U104" i="2"/>
  <c r="W102" i="8"/>
  <c r="C11" i="16"/>
  <c r="C10" i="9"/>
  <c r="W102" i="5"/>
  <c r="V102" i="2"/>
  <c r="C10" i="16"/>
  <c r="C9" i="9"/>
  <c r="Y112" i="5"/>
  <c r="E36" i="9" s="1"/>
  <c r="Y100" i="5"/>
  <c r="Y105" i="5"/>
  <c r="E37" i="16" s="1"/>
  <c r="T100" i="3"/>
  <c r="W102" i="7"/>
  <c r="W101" i="5"/>
  <c r="V101" i="5"/>
  <c r="W100" i="8"/>
  <c r="W105" i="8"/>
  <c r="F50" i="16" s="1"/>
  <c r="W112" i="8"/>
  <c r="T103" i="5"/>
  <c r="U111" i="4"/>
  <c r="U105" i="4"/>
  <c r="G23" i="16" s="1"/>
  <c r="U112" i="4"/>
  <c r="G22" i="9" s="1"/>
  <c r="U99" i="4"/>
  <c r="V101" i="4"/>
  <c r="U103" i="8"/>
  <c r="G47" i="16" s="1"/>
  <c r="U100" i="4"/>
  <c r="U102" i="6"/>
  <c r="AA59" i="7"/>
  <c r="T101" i="7"/>
  <c r="C45" i="16" s="1"/>
  <c r="T101" i="4"/>
  <c r="V102" i="7"/>
  <c r="E46" i="16" s="1"/>
  <c r="V100" i="3"/>
  <c r="T104" i="7"/>
  <c r="C48" i="16" s="1"/>
  <c r="T102" i="3"/>
  <c r="T100" i="7"/>
  <c r="C44" i="16" s="1"/>
  <c r="AA60" i="7"/>
  <c r="T105" i="7"/>
  <c r="C49" i="16" s="1"/>
  <c r="T112" i="7"/>
  <c r="AA58" i="7"/>
  <c r="X101" i="4"/>
  <c r="T102" i="8"/>
  <c r="F46" i="16" s="1"/>
  <c r="Y101" i="3"/>
  <c r="W103" i="6"/>
  <c r="Y112" i="6"/>
  <c r="H36" i="9" s="1"/>
  <c r="Y100" i="6"/>
  <c r="Y105" i="6"/>
  <c r="H37" i="16" s="1"/>
  <c r="X101" i="6"/>
  <c r="V100" i="2"/>
  <c r="X102" i="4"/>
  <c r="W104" i="5"/>
  <c r="T101" i="3"/>
  <c r="X102" i="5"/>
  <c r="T102" i="2"/>
  <c r="Y104" i="5"/>
  <c r="U104" i="8"/>
  <c r="G48" i="16" s="1"/>
  <c r="W102" i="2"/>
  <c r="W102" i="4"/>
  <c r="U102" i="3"/>
  <c r="X101" i="3"/>
  <c r="W100" i="6"/>
  <c r="W105" i="6"/>
  <c r="F37" i="16" s="1"/>
  <c r="W112" i="6"/>
  <c r="F36" i="9" s="1"/>
  <c r="T104" i="3"/>
  <c r="Y100" i="3"/>
  <c r="U104" i="3"/>
  <c r="X100" i="2"/>
  <c r="W102" i="6"/>
  <c r="T104" i="5"/>
  <c r="V101" i="6"/>
  <c r="W101" i="3"/>
  <c r="AA60" i="5"/>
  <c r="T100" i="5"/>
  <c r="T112" i="5"/>
  <c r="C35" i="9" s="1"/>
  <c r="T105" i="5"/>
  <c r="C36" i="16" s="1"/>
  <c r="AA61" i="5"/>
  <c r="AA58" i="5"/>
  <c r="U101" i="2"/>
  <c r="T101" i="6"/>
  <c r="W104" i="7"/>
  <c r="Y101" i="4"/>
  <c r="V101" i="8"/>
  <c r="H45" i="16" s="1"/>
  <c r="T103" i="8"/>
  <c r="F47" i="16" s="1"/>
  <c r="T104" i="4"/>
  <c r="X102" i="3"/>
  <c r="U104" i="4"/>
  <c r="D10" i="9"/>
  <c r="D11" i="16"/>
  <c r="W104" i="6"/>
  <c r="U101" i="7"/>
  <c r="D45" i="16" s="1"/>
  <c r="V104" i="5"/>
  <c r="X104" i="4"/>
  <c r="X103" i="5"/>
  <c r="Y104" i="8"/>
  <c r="X102" i="2"/>
  <c r="U104" i="6"/>
  <c r="V102" i="6"/>
  <c r="X100" i="8"/>
  <c r="X105" i="8"/>
  <c r="G50" i="16" s="1"/>
  <c r="X112" i="8"/>
  <c r="Y100" i="8"/>
  <c r="Y105" i="8"/>
  <c r="H50" i="16" s="1"/>
  <c r="Y112" i="8"/>
  <c r="V103" i="8"/>
  <c r="H47" i="16" s="1"/>
  <c r="W104" i="8"/>
  <c r="V112" i="6"/>
  <c r="H35" i="9" s="1"/>
  <c r="V100" i="6"/>
  <c r="V105" i="6"/>
  <c r="H36" i="16" s="1"/>
  <c r="X112" i="2"/>
  <c r="G10" i="9" s="1"/>
  <c r="X99" i="2"/>
  <c r="X105" i="2"/>
  <c r="G11" i="16" s="1"/>
  <c r="X111" i="2"/>
  <c r="V103" i="6"/>
  <c r="Y100" i="2"/>
  <c r="T102" i="7"/>
  <c r="C46" i="16" s="1"/>
  <c r="E10" i="9"/>
  <c r="E11" i="16"/>
  <c r="U101" i="6"/>
  <c r="W101" i="7"/>
  <c r="Y102" i="7"/>
  <c r="E9" i="9"/>
  <c r="E10" i="16"/>
  <c r="T105" i="3"/>
  <c r="C23" i="16" s="1"/>
  <c r="T112" i="3"/>
  <c r="C22" i="9" s="1"/>
  <c r="T111" i="3"/>
  <c r="T99" i="3"/>
  <c r="Y101" i="6"/>
  <c r="X112" i="7"/>
  <c r="X105" i="7"/>
  <c r="D50" i="16" s="1"/>
  <c r="X100" i="7"/>
  <c r="D10" i="16"/>
  <c r="D9" i="9"/>
  <c r="T102" i="6"/>
  <c r="W104" i="2"/>
  <c r="W103" i="2"/>
  <c r="V100" i="4"/>
  <c r="T100" i="2"/>
  <c r="X101" i="8"/>
  <c r="Y103" i="7"/>
  <c r="W101" i="4"/>
  <c r="W112" i="3"/>
  <c r="C23" i="9" s="1"/>
  <c r="W111" i="3"/>
  <c r="W105" i="3"/>
  <c r="C24" i="16" s="1"/>
  <c r="W99" i="3"/>
  <c r="Y102" i="5"/>
  <c r="X105" i="5"/>
  <c r="D37" i="16" s="1"/>
  <c r="X112" i="5"/>
  <c r="D36" i="9" s="1"/>
  <c r="X100" i="5"/>
  <c r="W102" i="3"/>
  <c r="T102" i="4"/>
  <c r="V104" i="8"/>
  <c r="H48" i="16" s="1"/>
  <c r="U102" i="8"/>
  <c r="G46" i="16" s="1"/>
  <c r="T101" i="5"/>
  <c r="AA59" i="5"/>
  <c r="X104" i="7"/>
  <c r="X105" i="3"/>
  <c r="D24" i="16" s="1"/>
  <c r="X111" i="3"/>
  <c r="X112" i="3"/>
  <c r="D23" i="9" s="1"/>
  <c r="X99" i="3"/>
  <c r="X104" i="5"/>
  <c r="W104" i="3"/>
  <c r="X104" i="3"/>
  <c r="V99" i="3"/>
  <c r="V105" i="3"/>
  <c r="E23" i="16" s="1"/>
  <c r="V112" i="3"/>
  <c r="E22" i="9" s="1"/>
  <c r="V111" i="3"/>
  <c r="T99" i="4"/>
  <c r="T111" i="4"/>
  <c r="T112" i="4"/>
  <c r="F22" i="9" s="1"/>
  <c r="T105" i="4"/>
  <c r="F23" i="16" s="1"/>
  <c r="T105" i="6"/>
  <c r="F36" i="16" s="1"/>
  <c r="T100" i="6"/>
  <c r="T112" i="6"/>
  <c r="F35" i="9" s="1"/>
  <c r="U104" i="5"/>
  <c r="Y104" i="7"/>
  <c r="W101" i="2"/>
  <c r="X101" i="2"/>
  <c r="T102" i="5"/>
  <c r="W100" i="4"/>
  <c r="T104" i="8"/>
  <c r="F48" i="16" s="1"/>
  <c r="V104" i="6"/>
  <c r="W101" i="6"/>
  <c r="U105" i="6"/>
  <c r="G36" i="16" s="1"/>
  <c r="U112" i="6"/>
  <c r="G35" i="9" s="1"/>
  <c r="U100" i="6"/>
  <c r="Y103" i="8"/>
  <c r="X104" i="6"/>
  <c r="W99" i="4"/>
  <c r="W105" i="4"/>
  <c r="F24" i="16" s="1"/>
  <c r="W112" i="4"/>
  <c r="F23" i="9" s="1"/>
  <c r="W111" i="4"/>
  <c r="Y101" i="8"/>
  <c r="Y104" i="2"/>
  <c r="V103" i="5"/>
  <c r="X100" i="3"/>
  <c r="U102" i="2"/>
  <c r="V105" i="2"/>
  <c r="H10" i="16" s="1"/>
  <c r="V99" i="2"/>
  <c r="V111" i="2"/>
  <c r="V112" i="2"/>
  <c r="H9" i="9" s="1"/>
  <c r="T104" i="6"/>
  <c r="T101" i="2"/>
  <c r="Y99" i="4"/>
  <c r="Y111" i="4"/>
  <c r="Y112" i="4"/>
  <c r="H23" i="9" s="1"/>
  <c r="Y105" i="4"/>
  <c r="H24" i="16" s="1"/>
  <c r="T101" i="8"/>
  <c r="F45" i="16" s="1"/>
  <c r="U100" i="2"/>
  <c r="Y104" i="3"/>
  <c r="X102" i="7"/>
  <c r="U103" i="2"/>
  <c r="U100" i="7"/>
  <c r="D44" i="16" s="1"/>
  <c r="U105" i="7"/>
  <c r="D49" i="16" s="1"/>
  <c r="U112" i="7"/>
  <c r="T104" i="2"/>
  <c r="V102" i="8"/>
  <c r="H46" i="16" s="1"/>
  <c r="Y103" i="2"/>
  <c r="U102" i="5"/>
  <c r="U102" i="4"/>
  <c r="T103" i="7"/>
  <c r="C47" i="16" s="1"/>
  <c r="W105" i="5"/>
  <c r="C37" i="16" s="1"/>
  <c r="W100" i="5"/>
  <c r="W112" i="5"/>
  <c r="C36" i="9" s="1"/>
  <c r="Y101" i="7"/>
  <c r="V104" i="3"/>
  <c r="U111" i="2"/>
  <c r="U112" i="2"/>
  <c r="G9" i="9" s="1"/>
  <c r="U105" i="2"/>
  <c r="G10" i="16" s="1"/>
  <c r="U99" i="2"/>
  <c r="Y100" i="4"/>
  <c r="X102" i="8"/>
  <c r="W100" i="2"/>
  <c r="Y102" i="4"/>
  <c r="X103" i="7"/>
  <c r="X100" i="4"/>
  <c r="U112" i="8"/>
  <c r="U105" i="8"/>
  <c r="G49" i="16" s="1"/>
  <c r="U100" i="8"/>
  <c r="G44" i="16" s="1"/>
  <c r="U101" i="5"/>
  <c r="V104" i="7"/>
  <c r="E48" i="16" s="1"/>
  <c r="U103" i="6"/>
  <c r="U104" i="7"/>
  <c r="D48" i="16" s="1"/>
  <c r="V105" i="8"/>
  <c r="H49" i="16" s="1"/>
  <c r="V112" i="8"/>
  <c r="V100" i="8"/>
  <c r="H44" i="16" s="1"/>
  <c r="V101" i="3"/>
  <c r="Y102" i="8"/>
  <c r="V100" i="5"/>
  <c r="V105" i="5"/>
  <c r="E36" i="16" s="1"/>
  <c r="V112" i="5"/>
  <c r="E35" i="9" s="1"/>
  <c r="X101" i="7"/>
  <c r="W100" i="3"/>
  <c r="Y100" i="7"/>
  <c r="Y112" i="7"/>
  <c r="Y105" i="7"/>
  <c r="E50" i="16" s="1"/>
  <c r="V104" i="4"/>
  <c r="U111" i="3"/>
  <c r="U105" i="3"/>
  <c r="D23" i="16" s="1"/>
  <c r="U112" i="3"/>
  <c r="D22" i="9" s="1"/>
  <c r="U99" i="3"/>
  <c r="U100" i="3"/>
  <c r="V104" i="2"/>
  <c r="X103" i="6"/>
  <c r="V101" i="2"/>
  <c r="Y111" i="2"/>
  <c r="Y99" i="2"/>
  <c r="Y112" i="2"/>
  <c r="H10" i="9" s="1"/>
  <c r="Y105" i="2"/>
  <c r="H11" i="16" s="1"/>
  <c r="X112" i="4"/>
  <c r="G23" i="9" s="1"/>
  <c r="X111" i="4"/>
  <c r="X99" i="4"/>
  <c r="X105" i="4"/>
  <c r="G24" i="16" s="1"/>
  <c r="Y102" i="3"/>
  <c r="Y103" i="6"/>
  <c r="Y102" i="2"/>
  <c r="V102" i="3"/>
  <c r="U102" i="7"/>
  <c r="D46" i="16" s="1"/>
  <c r="X101" i="5"/>
  <c r="X102" i="6"/>
  <c r="U101" i="8"/>
  <c r="G45" i="16" s="1"/>
  <c r="W103" i="8"/>
  <c r="Y101" i="2"/>
  <c r="W103" i="7"/>
  <c r="V103" i="7"/>
  <c r="E47" i="16" s="1"/>
  <c r="Y102" i="6"/>
  <c r="W103" i="5"/>
  <c r="Y104" i="4"/>
  <c r="T105" i="8"/>
  <c r="F49" i="16" s="1"/>
  <c r="T100" i="8"/>
  <c r="F44" i="16" s="1"/>
  <c r="T112" i="8"/>
  <c r="W105" i="7"/>
  <c r="C50" i="16" s="1"/>
  <c r="W112" i="7"/>
  <c r="W100" i="7"/>
  <c r="W104" i="4"/>
  <c r="AE12" i="10"/>
  <c r="AE15" i="10" s="1"/>
  <c r="AE13" i="10"/>
  <c r="AE16" i="10" s="1"/>
  <c r="AD12" i="10"/>
  <c r="AD15" i="10" s="1"/>
  <c r="AD13" i="10"/>
  <c r="AD16" i="10" s="1"/>
  <c r="AF12" i="10"/>
  <c r="AF15" i="10" s="1"/>
  <c r="AF13" i="10"/>
  <c r="AF16" i="10" s="1"/>
  <c r="AG12" i="10"/>
  <c r="AG15" i="10" s="1"/>
  <c r="AG13" i="10"/>
  <c r="AG16" i="10" s="1"/>
  <c r="R114" i="5" l="1"/>
  <c r="C38" i="9" s="1"/>
  <c r="R107" i="5"/>
  <c r="C38" i="16" s="1"/>
  <c r="C11" i="9"/>
  <c r="C9" i="16"/>
  <c r="G5" i="16"/>
  <c r="G5" i="9"/>
  <c r="E20" i="9"/>
  <c r="E20" i="16"/>
  <c r="H6" i="16"/>
  <c r="H6" i="9"/>
  <c r="D17" i="9"/>
  <c r="D17" i="16"/>
  <c r="H22" i="16"/>
  <c r="H24" i="9"/>
  <c r="D32" i="9"/>
  <c r="D32" i="16"/>
  <c r="G4" i="9"/>
  <c r="G4" i="16"/>
  <c r="E22" i="16"/>
  <c r="E24" i="9"/>
  <c r="F6" i="9"/>
  <c r="F6" i="16"/>
  <c r="H4" i="9"/>
  <c r="H4" i="16"/>
  <c r="D35" i="16"/>
  <c r="D37" i="9"/>
  <c r="C17" i="16"/>
  <c r="C17" i="9"/>
  <c r="E37" i="9"/>
  <c r="E35" i="16"/>
  <c r="G24" i="9"/>
  <c r="G22" i="16"/>
  <c r="F32" i="16"/>
  <c r="F32" i="9"/>
  <c r="C24" i="9"/>
  <c r="C22" i="16"/>
  <c r="C19" i="16"/>
  <c r="C19" i="9"/>
  <c r="C6" i="9"/>
  <c r="C6" i="16"/>
  <c r="E32" i="16"/>
  <c r="E32" i="9"/>
  <c r="F34" i="16"/>
  <c r="F34" i="9"/>
  <c r="D34" i="9"/>
  <c r="D34" i="16"/>
  <c r="E33" i="16"/>
  <c r="E33" i="9"/>
  <c r="E8" i="16"/>
  <c r="E8" i="9"/>
  <c r="C8" i="16"/>
  <c r="C8" i="9"/>
  <c r="F37" i="9"/>
  <c r="F35" i="16"/>
  <c r="E34" i="16"/>
  <c r="E34" i="9"/>
  <c r="F20" i="9"/>
  <c r="F20" i="16"/>
  <c r="D8" i="16"/>
  <c r="D8" i="9"/>
  <c r="D4" i="16"/>
  <c r="D4" i="9"/>
  <c r="E4" i="9"/>
  <c r="E4" i="16"/>
  <c r="H34" i="9"/>
  <c r="H34" i="16"/>
  <c r="H33" i="16"/>
  <c r="H33" i="9"/>
  <c r="G6" i="9"/>
  <c r="G6" i="16"/>
  <c r="H32" i="16"/>
  <c r="H32" i="9"/>
  <c r="D7" i="9"/>
  <c r="D7" i="16"/>
  <c r="E5" i="9"/>
  <c r="E5" i="16"/>
  <c r="E18" i="9"/>
  <c r="E18" i="16"/>
  <c r="H19" i="16"/>
  <c r="H19" i="9"/>
  <c r="C5" i="9"/>
  <c r="C5" i="16"/>
  <c r="H8" i="16"/>
  <c r="H8" i="9"/>
  <c r="F18" i="16"/>
  <c r="F18" i="9"/>
  <c r="H17" i="16"/>
  <c r="H17" i="9"/>
  <c r="H20" i="9"/>
  <c r="H20" i="16"/>
  <c r="D19" i="16"/>
  <c r="D19" i="9"/>
  <c r="E31" i="16"/>
  <c r="E31" i="9"/>
  <c r="H9" i="16"/>
  <c r="H11" i="9"/>
  <c r="G34" i="16"/>
  <c r="G34" i="9"/>
  <c r="G20" i="16"/>
  <c r="G20" i="9"/>
  <c r="F11" i="9"/>
  <c r="F9" i="16"/>
  <c r="G8" i="9"/>
  <c r="G8" i="16"/>
  <c r="D6" i="16"/>
  <c r="D6" i="9"/>
  <c r="C33" i="9"/>
  <c r="C33" i="16"/>
  <c r="F31" i="9"/>
  <c r="F31" i="16"/>
  <c r="C32" i="9"/>
  <c r="C32" i="16"/>
  <c r="F5" i="9"/>
  <c r="F5" i="16"/>
  <c r="G32" i="16"/>
  <c r="G32" i="9"/>
  <c r="G37" i="9"/>
  <c r="G35" i="16"/>
  <c r="E6" i="16"/>
  <c r="E6" i="9"/>
  <c r="D9" i="16"/>
  <c r="D11" i="9"/>
  <c r="C31" i="9"/>
  <c r="C31" i="16"/>
  <c r="C35" i="16"/>
  <c r="C37" i="9"/>
  <c r="D22" i="16"/>
  <c r="D24" i="9"/>
  <c r="F7" i="9"/>
  <c r="F7" i="16"/>
  <c r="C20" i="9"/>
  <c r="C20" i="16"/>
  <c r="G33" i="9"/>
  <c r="G33" i="16"/>
  <c r="G17" i="16"/>
  <c r="G17" i="9"/>
  <c r="C34" i="9"/>
  <c r="C34" i="16"/>
  <c r="G19" i="9"/>
  <c r="G19" i="16"/>
  <c r="F4" i="16"/>
  <c r="F4" i="9"/>
  <c r="D5" i="16"/>
  <c r="D5" i="9"/>
  <c r="C7" i="16"/>
  <c r="C7" i="9"/>
  <c r="D18" i="9"/>
  <c r="D18" i="16"/>
  <c r="E19" i="16"/>
  <c r="E19" i="9"/>
  <c r="D33" i="16"/>
  <c r="D33" i="9"/>
  <c r="G7" i="9"/>
  <c r="G7" i="16"/>
  <c r="G31" i="16"/>
  <c r="G31" i="9"/>
  <c r="H37" i="9"/>
  <c r="H35" i="16"/>
  <c r="F17" i="9"/>
  <c r="F17" i="16"/>
  <c r="E17" i="9"/>
  <c r="E17" i="16"/>
  <c r="E7" i="9"/>
  <c r="E7" i="16"/>
  <c r="H18" i="9"/>
  <c r="H18" i="16"/>
  <c r="F33" i="16"/>
  <c r="F33" i="9"/>
  <c r="H31" i="9"/>
  <c r="H31" i="16"/>
  <c r="F24" i="9"/>
  <c r="F22" i="16"/>
  <c r="D20" i="9"/>
  <c r="D20" i="16"/>
  <c r="H5" i="9"/>
  <c r="H5" i="16"/>
  <c r="E9" i="16"/>
  <c r="E11" i="9"/>
  <c r="F19" i="9"/>
  <c r="F19" i="16"/>
  <c r="G18" i="16"/>
  <c r="G18" i="9"/>
  <c r="C18" i="16"/>
  <c r="C18" i="9"/>
  <c r="C4" i="16"/>
  <c r="C4" i="9"/>
  <c r="H7" i="16"/>
  <c r="H7" i="9"/>
  <c r="G9" i="16"/>
  <c r="G11" i="9"/>
  <c r="D31" i="16"/>
  <c r="D31" i="9"/>
  <c r="F8" i="9"/>
  <c r="F8" i="16"/>
</calcChain>
</file>

<file path=xl/sharedStrings.xml><?xml version="1.0" encoding="utf-8"?>
<sst xmlns="http://schemas.openxmlformats.org/spreadsheetml/2006/main" count="898" uniqueCount="130">
  <si>
    <t>Nebuta</t>
  </si>
  <si>
    <t>QPISlice</t>
  </si>
  <si>
    <t>Class A</t>
  </si>
  <si>
    <t>Traffic</t>
  </si>
  <si>
    <t>4K</t>
  </si>
  <si>
    <t>PeopleOnStreet</t>
  </si>
  <si>
    <t>SteamLocomotive</t>
  </si>
  <si>
    <t>Class B</t>
  </si>
  <si>
    <t>Kimono</t>
  </si>
  <si>
    <t>1080p</t>
  </si>
  <si>
    <t>ParkScene</t>
  </si>
  <si>
    <t>Cactus</t>
  </si>
  <si>
    <t>BasketballDrive</t>
  </si>
  <si>
    <t>BQTerrace</t>
  </si>
  <si>
    <t>Class C</t>
  </si>
  <si>
    <t>BasketballDrill</t>
  </si>
  <si>
    <t>WVGA</t>
  </si>
  <si>
    <t>BQMall</t>
  </si>
  <si>
    <t>PartyScene</t>
  </si>
  <si>
    <t>RaceHorses</t>
  </si>
  <si>
    <t>Class D</t>
  </si>
  <si>
    <t>BasketballPass</t>
  </si>
  <si>
    <t>WQVGA</t>
  </si>
  <si>
    <t>BQSquare</t>
  </si>
  <si>
    <t>BlowingBubbles</t>
  </si>
  <si>
    <t>ClassE</t>
  </si>
  <si>
    <t>720p</t>
  </si>
  <si>
    <t>Class E</t>
  </si>
  <si>
    <t>All</t>
  </si>
  <si>
    <t>Time geomean</t>
  </si>
  <si>
    <t>Time ratio</t>
  </si>
  <si>
    <t>Time sum (hours)</t>
  </si>
  <si>
    <t>Reference</t>
  </si>
  <si>
    <t>Tested</t>
  </si>
  <si>
    <t>kbps</t>
  </si>
  <si>
    <t>Y psnr</t>
  </si>
  <si>
    <t>U psnr</t>
  </si>
  <si>
    <t>V psnr</t>
  </si>
  <si>
    <t>Enc T [s]</t>
  </si>
  <si>
    <t>Dec T [s]</t>
  </si>
  <si>
    <t>Enc T [h]</t>
  </si>
  <si>
    <t>Y</t>
  </si>
  <si>
    <t>U</t>
  </si>
  <si>
    <t>V</t>
  </si>
  <si>
    <t>Overall</t>
  </si>
  <si>
    <t>Enc Time[%]</t>
  </si>
  <si>
    <t>Dec Time[%]</t>
  </si>
  <si>
    <t>BD-rate (piecewise cubic)</t>
  </si>
  <si>
    <t>BD-rate (cubic)</t>
  </si>
  <si>
    <t>Note: BD-rate is computed using piece-wise cubic interpolation</t>
  </si>
  <si>
    <t>Shaded numbers using cubic interpolation</t>
  </si>
  <si>
    <t>Reference:</t>
  </si>
  <si>
    <t>Tested:</t>
  </si>
  <si>
    <t>Line 1 - Reference</t>
  </si>
  <si>
    <t>Line 2 - Test</t>
  </si>
  <si>
    <t>Select the coding condition and sequence from the dropbox below</t>
  </si>
  <si>
    <t>RaceHorses C</t>
  </si>
  <si>
    <t>rate</t>
  </si>
  <si>
    <t>y</t>
  </si>
  <si>
    <t>u</t>
  </si>
  <si>
    <t>v</t>
  </si>
  <si>
    <t>ClassF</t>
  </si>
  <si>
    <t>BasketballDrillText</t>
  </si>
  <si>
    <t>ChinaSpeed</t>
  </si>
  <si>
    <t>SlideEditing</t>
  </si>
  <si>
    <t>SlideShow</t>
  </si>
  <si>
    <t>Class F</t>
  </si>
  <si>
    <t>AI-HE10</t>
  </si>
  <si>
    <t>RA-HE10</t>
  </si>
  <si>
    <t>LB-HE10</t>
  </si>
  <si>
    <t>LP-HE10</t>
  </si>
  <si>
    <t>Class A (8-bit)</t>
  </si>
  <si>
    <t>All (Mandatory)</t>
  </si>
  <si>
    <t>Note: class F results are not included in the averages</t>
  </si>
  <si>
    <t>All Intra Main</t>
  </si>
  <si>
    <t>Random Access Main</t>
  </si>
  <si>
    <t>Low delay B Main</t>
  </si>
  <si>
    <t>Low delay P Main</t>
  </si>
  <si>
    <t>All Intra HE10</t>
  </si>
  <si>
    <t>Random Access HE10</t>
  </si>
  <si>
    <t>Low delay B HE10</t>
  </si>
  <si>
    <t>Low delay P HE10</t>
  </si>
  <si>
    <t>AI-Main</t>
  </si>
  <si>
    <t>RA-Main</t>
  </si>
  <si>
    <t>LB-Main</t>
  </si>
  <si>
    <t>LP-Main</t>
  </si>
  <si>
    <t>FourPeople</t>
  </si>
  <si>
    <t>Johnny</t>
  </si>
  <si>
    <t>KristenAndSara</t>
  </si>
  <si>
    <t>Proposed</t>
    <phoneticPr fontId="2" type="noConversion"/>
  </si>
  <si>
    <t>BDPSNR</t>
    <phoneticPr fontId="2" type="noConversion"/>
  </si>
  <si>
    <t>BD-BR</t>
    <phoneticPr fontId="2" type="noConversion"/>
  </si>
  <si>
    <t>Complexity</t>
    <phoneticPr fontId="2" type="noConversion"/>
  </si>
  <si>
    <t>Class B</t>
    <phoneticPr fontId="2" type="noConversion"/>
  </si>
  <si>
    <t>Class C</t>
    <phoneticPr fontId="2" type="noConversion"/>
  </si>
  <si>
    <t>AVERAGE</t>
    <phoneticPr fontId="2" type="noConversion"/>
  </si>
  <si>
    <t>BD-BR</t>
    <phoneticPr fontId="2" type="noConversion"/>
  </si>
  <si>
    <t>Complexity</t>
    <phoneticPr fontId="2" type="noConversion"/>
  </si>
  <si>
    <t>Class B</t>
    <phoneticPr fontId="2" type="noConversion"/>
  </si>
  <si>
    <t>AVERAGE</t>
    <phoneticPr fontId="2" type="noConversion"/>
  </si>
  <si>
    <t>HM 10.1 Default</t>
    <phoneticPr fontId="2" type="noConversion"/>
  </si>
  <si>
    <t>DMLAB</t>
    <phoneticPr fontId="2" type="noConversion"/>
  </si>
  <si>
    <t>MEMD</t>
    <phoneticPr fontId="2" type="noConversion"/>
  </si>
  <si>
    <t>MECD</t>
    <phoneticPr fontId="2" type="noConversion"/>
  </si>
  <si>
    <t>TH1</t>
    <phoneticPr fontId="2" type="noConversion"/>
  </si>
  <si>
    <t>TH3</t>
    <phoneticPr fontId="2" type="noConversion"/>
  </si>
  <si>
    <t>TH5</t>
    <phoneticPr fontId="2" type="noConversion"/>
  </si>
  <si>
    <t>MEID</t>
    <phoneticPr fontId="2" type="noConversion"/>
  </si>
  <si>
    <t>MECD+MEMD</t>
    <phoneticPr fontId="2" type="noConversion"/>
  </si>
  <si>
    <t>RGB</t>
    <phoneticPr fontId="2" type="noConversion"/>
  </si>
  <si>
    <t>hotmirror</t>
    <phoneticPr fontId="2" type="noConversion"/>
  </si>
  <si>
    <t>Mixed</t>
    <phoneticPr fontId="2" type="noConversion"/>
  </si>
  <si>
    <t>NIR,RGB</t>
    <phoneticPr fontId="2" type="noConversion"/>
  </si>
  <si>
    <t>RGB,NIR</t>
    <phoneticPr fontId="2" type="noConversion"/>
  </si>
  <si>
    <t>Separated</t>
    <phoneticPr fontId="2" type="noConversion"/>
  </si>
  <si>
    <t>NIR</t>
    <phoneticPr fontId="2" type="noConversion"/>
  </si>
  <si>
    <t>lowdelay</t>
    <phoneticPr fontId="2" type="noConversion"/>
  </si>
  <si>
    <t>book</t>
    <phoneticPr fontId="2" type="noConversion"/>
  </si>
  <si>
    <t>flower</t>
    <phoneticPr fontId="2" type="noConversion"/>
  </si>
  <si>
    <t>miniature</t>
    <phoneticPr fontId="2" type="noConversion"/>
  </si>
  <si>
    <t>minifan2</t>
    <phoneticPr fontId="2" type="noConversion"/>
  </si>
  <si>
    <t>minifan</t>
    <phoneticPr fontId="2" type="noConversion"/>
  </si>
  <si>
    <t>nohohon</t>
    <phoneticPr fontId="2" type="noConversion"/>
  </si>
  <si>
    <t>Things2</t>
    <phoneticPr fontId="2" type="noConversion"/>
  </si>
  <si>
    <t>Things</t>
    <phoneticPr fontId="2" type="noConversion"/>
  </si>
  <si>
    <t>treename</t>
    <phoneticPr fontId="2" type="noConversion"/>
  </si>
  <si>
    <t>All intra</t>
  </si>
  <si>
    <t>Mixed</t>
    <phoneticPr fontId="2" type="noConversion"/>
  </si>
  <si>
    <t>lowdelay</t>
    <phoneticPr fontId="2" type="noConversion"/>
  </si>
  <si>
    <t>LED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</si>
</sst>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76" formatCode="0.00_ "/>
    <numFmt numFmtId="177" formatCode="0.0%"/>
    <numFmt numFmtId="178" formatCode="0.0"/>
    <numFmt numFmtId="179" formatCode="0.000%"/>
    <numFmt numFmtId="180" formatCode="0.000000"/>
    <numFmt numFmtId="181" formatCode="0.000"/>
  </numFmts>
  <fonts count="9" x14ac:knownFonts="1">
    <font>
      <sz val="12"/>
      <color theme="1"/>
      <name val="맑은 고딕"/>
      <family val="3"/>
      <charset val="129"/>
      <scheme val="minor"/>
    </font>
    <font>
      <sz val="12"/>
      <color indexed="8"/>
      <name val="Calibri"/>
      <family val="2"/>
    </font>
    <font>
      <sz val="8"/>
      <name val="Calibri"/>
      <family val="2"/>
    </font>
    <font>
      <sz val="9"/>
      <color indexed="8"/>
      <name val="Arial"/>
      <family val="2"/>
    </font>
    <font>
      <b/>
      <sz val="9"/>
      <color indexed="8"/>
      <name val="Arial"/>
      <family val="2"/>
    </font>
    <font>
      <sz val="9"/>
      <color indexed="23"/>
      <name val="Arial"/>
      <family val="2"/>
    </font>
    <font>
      <sz val="9"/>
      <color indexed="55"/>
      <name val="Arial"/>
      <family val="2"/>
    </font>
    <font>
      <sz val="10"/>
      <color indexed="8"/>
      <name val="Calibri"/>
      <family val="2"/>
    </font>
    <font>
      <b/>
      <sz val="9"/>
      <color indexed="8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13"/>
        <bgColor indexed="64"/>
      </patternFill>
    </fill>
  </fills>
  <borders count="2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65">
    <xf numFmtId="0" fontId="0" fillId="0" borderId="0" xfId="0"/>
    <xf numFmtId="0" fontId="3" fillId="0" borderId="0" xfId="0" applyFont="1"/>
    <xf numFmtId="0" fontId="3" fillId="0" borderId="0" xfId="0" applyFont="1" applyAlignment="1">
      <alignment horizontal="center"/>
    </xf>
    <xf numFmtId="0" fontId="3" fillId="0" borderId="1" xfId="0" applyFont="1" applyBorder="1"/>
    <xf numFmtId="0" fontId="3" fillId="0" borderId="2" xfId="0" applyFont="1" applyBorder="1"/>
    <xf numFmtId="0" fontId="3" fillId="0" borderId="3" xfId="0" applyFont="1" applyBorder="1"/>
    <xf numFmtId="0" fontId="3" fillId="0" borderId="1" xfId="0" applyFont="1" applyBorder="1" applyAlignment="1">
      <alignment horizontal="center"/>
    </xf>
    <xf numFmtId="0" fontId="3" fillId="0" borderId="2" xfId="0" applyFont="1" applyBorder="1" applyAlignment="1">
      <alignment horizontal="center"/>
    </xf>
    <xf numFmtId="0" fontId="3" fillId="0" borderId="3" xfId="0" applyFont="1" applyBorder="1" applyAlignment="1">
      <alignment horizontal="center"/>
    </xf>
    <xf numFmtId="0" fontId="3" fillId="0" borderId="0" xfId="0" applyFont="1" applyBorder="1" applyAlignment="1">
      <alignment horizontal="center"/>
    </xf>
    <xf numFmtId="0" fontId="3" fillId="0" borderId="4" xfId="0" applyFont="1" applyBorder="1" applyAlignment="1">
      <alignment horizontal="center"/>
    </xf>
    <xf numFmtId="0" fontId="3" fillId="0" borderId="5" xfId="0" applyFont="1" applyBorder="1" applyAlignment="1">
      <alignment horizontal="center"/>
    </xf>
    <xf numFmtId="0" fontId="3" fillId="0" borderId="6" xfId="0" applyFont="1" applyBorder="1" applyAlignment="1">
      <alignment horizontal="center"/>
    </xf>
    <xf numFmtId="0" fontId="3" fillId="0" borderId="7" xfId="0" applyFont="1" applyBorder="1"/>
    <xf numFmtId="176" fontId="3" fillId="2" borderId="4" xfId="0" applyNumberFormat="1" applyFont="1" applyFill="1" applyBorder="1" applyAlignment="1"/>
    <xf numFmtId="176" fontId="3" fillId="2" borderId="5" xfId="0" applyNumberFormat="1" applyFont="1" applyFill="1" applyBorder="1" applyAlignment="1"/>
    <xf numFmtId="176" fontId="3" fillId="2" borderId="6" xfId="0" applyNumberFormat="1" applyFont="1" applyFill="1" applyBorder="1" applyAlignment="1"/>
    <xf numFmtId="176" fontId="3" fillId="2" borderId="4" xfId="0" applyNumberFormat="1" applyFont="1" applyFill="1" applyBorder="1"/>
    <xf numFmtId="176" fontId="3" fillId="2" borderId="5" xfId="0" applyNumberFormat="1" applyFont="1" applyFill="1" applyBorder="1"/>
    <xf numFmtId="176" fontId="3" fillId="2" borderId="6" xfId="0" applyNumberFormat="1" applyFont="1" applyFill="1" applyBorder="1"/>
    <xf numFmtId="2" fontId="3" fillId="0" borderId="0" xfId="0" applyNumberFormat="1" applyFont="1"/>
    <xf numFmtId="177" fontId="3" fillId="0" borderId="4" xfId="0" applyNumberFormat="1" applyFont="1" applyBorder="1" applyAlignment="1">
      <alignment horizontal="center"/>
    </xf>
    <xf numFmtId="177" fontId="3" fillId="0" borderId="5" xfId="0" applyNumberFormat="1" applyFont="1" applyBorder="1" applyAlignment="1">
      <alignment horizontal="center"/>
    </xf>
    <xf numFmtId="177" fontId="3" fillId="0" borderId="6" xfId="0" applyNumberFormat="1" applyFont="1" applyBorder="1" applyAlignment="1">
      <alignment horizontal="center"/>
    </xf>
    <xf numFmtId="0" fontId="3" fillId="0" borderId="8" xfId="0" applyFont="1" applyBorder="1"/>
    <xf numFmtId="176" fontId="3" fillId="2" borderId="9" xfId="0" applyNumberFormat="1" applyFont="1" applyFill="1" applyBorder="1" applyAlignment="1"/>
    <xf numFmtId="176" fontId="3" fillId="2" borderId="0" xfId="0" applyNumberFormat="1" applyFont="1" applyFill="1" applyBorder="1" applyAlignment="1"/>
    <xf numFmtId="176" fontId="3" fillId="2" borderId="10" xfId="0" applyNumberFormat="1" applyFont="1" applyFill="1" applyBorder="1" applyAlignment="1"/>
    <xf numFmtId="176" fontId="3" fillId="2" borderId="9" xfId="0" applyNumberFormat="1" applyFont="1" applyFill="1" applyBorder="1"/>
    <xf numFmtId="176" fontId="3" fillId="2" borderId="0" xfId="0" applyNumberFormat="1" applyFont="1" applyFill="1" applyBorder="1"/>
    <xf numFmtId="176" fontId="3" fillId="2" borderId="10" xfId="0" applyNumberFormat="1" applyFont="1" applyFill="1" applyBorder="1"/>
    <xf numFmtId="0" fontId="3" fillId="0" borderId="9" xfId="0" applyFont="1" applyBorder="1"/>
    <xf numFmtId="0" fontId="3" fillId="0" borderId="0" xfId="0" applyFont="1" applyBorder="1"/>
    <xf numFmtId="0" fontId="3" fillId="0" borderId="10" xfId="0" applyFont="1" applyBorder="1"/>
    <xf numFmtId="0" fontId="3" fillId="0" borderId="11" xfId="0" applyFont="1" applyBorder="1"/>
    <xf numFmtId="176" fontId="3" fillId="2" borderId="12" xfId="0" applyNumberFormat="1" applyFont="1" applyFill="1" applyBorder="1" applyAlignment="1"/>
    <xf numFmtId="176" fontId="3" fillId="2" borderId="13" xfId="0" applyNumberFormat="1" applyFont="1" applyFill="1" applyBorder="1" applyAlignment="1"/>
    <xf numFmtId="176" fontId="3" fillId="2" borderId="14" xfId="0" applyNumberFormat="1" applyFont="1" applyFill="1" applyBorder="1" applyAlignment="1"/>
    <xf numFmtId="176" fontId="3" fillId="2" borderId="12" xfId="0" applyNumberFormat="1" applyFont="1" applyFill="1" applyBorder="1"/>
    <xf numFmtId="176" fontId="3" fillId="2" borderId="13" xfId="0" applyNumberFormat="1" applyFont="1" applyFill="1" applyBorder="1"/>
    <xf numFmtId="176" fontId="3" fillId="2" borderId="14" xfId="0" applyNumberFormat="1" applyFont="1" applyFill="1" applyBorder="1"/>
    <xf numFmtId="0" fontId="3" fillId="0" borderId="12" xfId="0" applyFont="1" applyBorder="1"/>
    <xf numFmtId="0" fontId="3" fillId="0" borderId="13" xfId="0" applyFont="1" applyBorder="1"/>
    <xf numFmtId="0" fontId="3" fillId="0" borderId="14" xfId="0" applyFont="1" applyBorder="1"/>
    <xf numFmtId="177" fontId="3" fillId="0" borderId="9" xfId="0" applyNumberFormat="1" applyFont="1" applyBorder="1" applyAlignment="1">
      <alignment horizontal="center"/>
    </xf>
    <xf numFmtId="177" fontId="3" fillId="0" borderId="0" xfId="0" applyNumberFormat="1" applyFont="1" applyBorder="1" applyAlignment="1">
      <alignment horizontal="center"/>
    </xf>
    <xf numFmtId="177" fontId="3" fillId="0" borderId="10" xfId="0" applyNumberFormat="1" applyFont="1" applyBorder="1" applyAlignment="1">
      <alignment horizontal="center"/>
    </xf>
    <xf numFmtId="10" fontId="3" fillId="0" borderId="0" xfId="0" applyNumberFormat="1" applyFont="1" applyBorder="1"/>
    <xf numFmtId="177" fontId="3" fillId="0" borderId="12" xfId="0" applyNumberFormat="1" applyFont="1" applyBorder="1" applyAlignment="1">
      <alignment horizontal="center"/>
    </xf>
    <xf numFmtId="177" fontId="3" fillId="0" borderId="13" xfId="0" applyNumberFormat="1" applyFont="1" applyBorder="1" applyAlignment="1">
      <alignment horizontal="center"/>
    </xf>
    <xf numFmtId="177" fontId="3" fillId="0" borderId="14" xfId="0" applyNumberFormat="1" applyFont="1" applyBorder="1" applyAlignment="1">
      <alignment horizontal="center"/>
    </xf>
    <xf numFmtId="177" fontId="3" fillId="0" borderId="1" xfId="0" applyNumberFormat="1" applyFont="1" applyBorder="1" applyAlignment="1">
      <alignment horizontal="center"/>
    </xf>
    <xf numFmtId="177" fontId="3" fillId="0" borderId="2" xfId="0" applyNumberFormat="1" applyFont="1" applyBorder="1" applyAlignment="1">
      <alignment horizontal="center"/>
    </xf>
    <xf numFmtId="177" fontId="3" fillId="0" borderId="3" xfId="0" applyNumberFormat="1" applyFont="1" applyBorder="1" applyAlignment="1">
      <alignment horizontal="center"/>
    </xf>
    <xf numFmtId="176" fontId="3" fillId="0" borderId="0" xfId="0" applyNumberFormat="1" applyFont="1"/>
    <xf numFmtId="9" fontId="3" fillId="0" borderId="0" xfId="0" applyNumberFormat="1" applyFont="1"/>
    <xf numFmtId="0" fontId="4" fillId="0" borderId="0" xfId="0" applyFont="1"/>
    <xf numFmtId="0" fontId="3" fillId="0" borderId="12" xfId="0" applyFont="1" applyBorder="1" applyAlignment="1">
      <alignment horizontal="center"/>
    </xf>
    <xf numFmtId="0" fontId="3" fillId="0" borderId="13" xfId="0" applyFont="1" applyBorder="1" applyAlignment="1">
      <alignment horizontal="center"/>
    </xf>
    <xf numFmtId="0" fontId="3" fillId="0" borderId="14" xfId="0" applyFont="1" applyBorder="1" applyAlignment="1">
      <alignment horizontal="center"/>
    </xf>
    <xf numFmtId="177" fontId="5" fillId="0" borderId="13" xfId="0" applyNumberFormat="1" applyFont="1" applyBorder="1" applyAlignment="1">
      <alignment horizontal="center"/>
    </xf>
    <xf numFmtId="177" fontId="5" fillId="0" borderId="14" xfId="0" applyNumberFormat="1" applyFont="1" applyBorder="1" applyAlignment="1">
      <alignment horizontal="center"/>
    </xf>
    <xf numFmtId="0" fontId="4" fillId="0" borderId="7" xfId="0" applyFont="1" applyBorder="1"/>
    <xf numFmtId="0" fontId="3" fillId="3" borderId="7" xfId="0" applyFont="1" applyFill="1" applyBorder="1"/>
    <xf numFmtId="176" fontId="3" fillId="3" borderId="4" xfId="0" applyNumberFormat="1" applyFont="1" applyFill="1" applyBorder="1" applyAlignment="1"/>
    <xf numFmtId="176" fontId="3" fillId="3" borderId="5" xfId="0" applyNumberFormat="1" applyFont="1" applyFill="1" applyBorder="1" applyAlignment="1"/>
    <xf numFmtId="176" fontId="3" fillId="3" borderId="6" xfId="0" applyNumberFormat="1" applyFont="1" applyFill="1" applyBorder="1" applyAlignment="1"/>
    <xf numFmtId="0" fontId="3" fillId="3" borderId="0" xfId="0" applyFont="1" applyFill="1"/>
    <xf numFmtId="2" fontId="3" fillId="3" borderId="0" xfId="0" applyNumberFormat="1" applyFont="1" applyFill="1"/>
    <xf numFmtId="177" fontId="3" fillId="3" borderId="4" xfId="0" applyNumberFormat="1" applyFont="1" applyFill="1" applyBorder="1" applyAlignment="1">
      <alignment horizontal="center"/>
    </xf>
    <xf numFmtId="177" fontId="3" fillId="3" borderId="5" xfId="0" applyNumberFormat="1" applyFont="1" applyFill="1" applyBorder="1" applyAlignment="1">
      <alignment horizontal="center"/>
    </xf>
    <xf numFmtId="177" fontId="3" fillId="3" borderId="6" xfId="0" applyNumberFormat="1" applyFont="1" applyFill="1" applyBorder="1" applyAlignment="1">
      <alignment horizontal="center"/>
    </xf>
    <xf numFmtId="0" fontId="3" fillId="3" borderId="8" xfId="0" applyFont="1" applyFill="1" applyBorder="1"/>
    <xf numFmtId="176" fontId="3" fillId="3" borderId="9" xfId="0" applyNumberFormat="1" applyFont="1" applyFill="1" applyBorder="1" applyAlignment="1"/>
    <xf numFmtId="176" fontId="3" fillId="3" borderId="0" xfId="0" applyNumberFormat="1" applyFont="1" applyFill="1" applyBorder="1" applyAlignment="1"/>
    <xf numFmtId="176" fontId="3" fillId="3" borderId="10" xfId="0" applyNumberFormat="1" applyFont="1" applyFill="1" applyBorder="1" applyAlignment="1"/>
    <xf numFmtId="0" fontId="3" fillId="3" borderId="9" xfId="0" applyFont="1" applyFill="1" applyBorder="1"/>
    <xf numFmtId="0" fontId="3" fillId="3" borderId="0" xfId="0" applyFont="1" applyFill="1" applyBorder="1"/>
    <xf numFmtId="0" fontId="3" fillId="3" borderId="10" xfId="0" applyFont="1" applyFill="1" applyBorder="1"/>
    <xf numFmtId="0" fontId="3" fillId="3" borderId="11" xfId="0" applyFont="1" applyFill="1" applyBorder="1"/>
    <xf numFmtId="176" fontId="3" fillId="3" borderId="12" xfId="0" applyNumberFormat="1" applyFont="1" applyFill="1" applyBorder="1" applyAlignment="1"/>
    <xf numFmtId="176" fontId="3" fillId="3" borderId="13" xfId="0" applyNumberFormat="1" applyFont="1" applyFill="1" applyBorder="1" applyAlignment="1"/>
    <xf numFmtId="176" fontId="3" fillId="3" borderId="14" xfId="0" applyNumberFormat="1" applyFont="1" applyFill="1" applyBorder="1" applyAlignment="1"/>
    <xf numFmtId="0" fontId="3" fillId="3" borderId="12" xfId="0" applyFont="1" applyFill="1" applyBorder="1"/>
    <xf numFmtId="0" fontId="3" fillId="3" borderId="13" xfId="0" applyFont="1" applyFill="1" applyBorder="1"/>
    <xf numFmtId="0" fontId="3" fillId="3" borderId="14" xfId="0" applyFont="1" applyFill="1" applyBorder="1"/>
    <xf numFmtId="176" fontId="3" fillId="3" borderId="4" xfId="0" applyNumberFormat="1" applyFont="1" applyFill="1" applyBorder="1"/>
    <xf numFmtId="176" fontId="3" fillId="3" borderId="5" xfId="0" applyNumberFormat="1" applyFont="1" applyFill="1" applyBorder="1"/>
    <xf numFmtId="176" fontId="3" fillId="3" borderId="6" xfId="0" applyNumberFormat="1" applyFont="1" applyFill="1" applyBorder="1"/>
    <xf numFmtId="176" fontId="3" fillId="3" borderId="9" xfId="0" applyNumberFormat="1" applyFont="1" applyFill="1" applyBorder="1"/>
    <xf numFmtId="176" fontId="3" fillId="3" borderId="0" xfId="0" applyNumberFormat="1" applyFont="1" applyFill="1" applyBorder="1"/>
    <xf numFmtId="176" fontId="3" fillId="3" borderId="10" xfId="0" applyNumberFormat="1" applyFont="1" applyFill="1" applyBorder="1"/>
    <xf numFmtId="176" fontId="3" fillId="3" borderId="12" xfId="0" applyNumberFormat="1" applyFont="1" applyFill="1" applyBorder="1"/>
    <xf numFmtId="176" fontId="3" fillId="3" borderId="13" xfId="0" applyNumberFormat="1" applyFont="1" applyFill="1" applyBorder="1"/>
    <xf numFmtId="176" fontId="3" fillId="3" borderId="14" xfId="0" applyNumberFormat="1" applyFont="1" applyFill="1" applyBorder="1"/>
    <xf numFmtId="2" fontId="6" fillId="4" borderId="0" xfId="0" applyNumberFormat="1" applyFont="1" applyFill="1"/>
    <xf numFmtId="177" fontId="6" fillId="4" borderId="4" xfId="0" applyNumberFormat="1" applyFont="1" applyFill="1" applyBorder="1" applyAlignment="1">
      <alignment horizontal="center"/>
    </xf>
    <xf numFmtId="177" fontId="6" fillId="4" borderId="5" xfId="0" applyNumberFormat="1" applyFont="1" applyFill="1" applyBorder="1" applyAlignment="1">
      <alignment horizontal="center"/>
    </xf>
    <xf numFmtId="177" fontId="6" fillId="4" borderId="6" xfId="0" applyNumberFormat="1" applyFont="1" applyFill="1" applyBorder="1" applyAlignment="1">
      <alignment horizontal="center"/>
    </xf>
    <xf numFmtId="0" fontId="6" fillId="4" borderId="9" xfId="0" applyFont="1" applyFill="1" applyBorder="1"/>
    <xf numFmtId="0" fontId="6" fillId="4" borderId="0" xfId="0" applyFont="1" applyFill="1" applyBorder="1"/>
    <xf numFmtId="0" fontId="6" fillId="4" borderId="10" xfId="0" applyFont="1" applyFill="1" applyBorder="1"/>
    <xf numFmtId="0" fontId="6" fillId="4" borderId="12" xfId="0" applyFont="1" applyFill="1" applyBorder="1"/>
    <xf numFmtId="0" fontId="6" fillId="4" borderId="13" xfId="0" applyFont="1" applyFill="1" applyBorder="1"/>
    <xf numFmtId="0" fontId="6" fillId="4" borderId="14" xfId="0" applyFont="1" applyFill="1" applyBorder="1"/>
    <xf numFmtId="177" fontId="6" fillId="4" borderId="9" xfId="0" applyNumberFormat="1" applyFont="1" applyFill="1" applyBorder="1" applyAlignment="1">
      <alignment horizontal="center"/>
    </xf>
    <xf numFmtId="177" fontId="6" fillId="4" borderId="0" xfId="0" applyNumberFormat="1" applyFont="1" applyFill="1" applyBorder="1" applyAlignment="1">
      <alignment horizontal="center"/>
    </xf>
    <xf numFmtId="177" fontId="6" fillId="4" borderId="10" xfId="0" applyNumberFormat="1" applyFont="1" applyFill="1" applyBorder="1" applyAlignment="1">
      <alignment horizontal="center"/>
    </xf>
    <xf numFmtId="10" fontId="6" fillId="4" borderId="0" xfId="0" applyNumberFormat="1" applyFont="1" applyFill="1" applyBorder="1"/>
    <xf numFmtId="0" fontId="0" fillId="5" borderId="0" xfId="0" applyFill="1"/>
    <xf numFmtId="0" fontId="0" fillId="0" borderId="0" xfId="0" applyBorder="1"/>
    <xf numFmtId="2" fontId="7" fillId="0" borderId="0" xfId="0" applyNumberFormat="1" applyFont="1"/>
    <xf numFmtId="0" fontId="7" fillId="0" borderId="0" xfId="0" applyFont="1"/>
    <xf numFmtId="178" fontId="7" fillId="0" borderId="0" xfId="0" applyNumberFormat="1" applyFont="1"/>
    <xf numFmtId="0" fontId="3" fillId="0" borderId="10" xfId="0" applyFont="1" applyBorder="1" applyAlignment="1">
      <alignment horizontal="center"/>
    </xf>
    <xf numFmtId="0" fontId="3" fillId="0" borderId="9" xfId="0" applyFont="1" applyBorder="1" applyAlignment="1">
      <alignment horizontal="center"/>
    </xf>
    <xf numFmtId="0" fontId="4" fillId="0" borderId="8" xfId="0" applyFont="1" applyBorder="1"/>
    <xf numFmtId="0" fontId="3" fillId="0" borderId="7" xfId="0" applyFont="1" applyFill="1" applyBorder="1"/>
    <xf numFmtId="0" fontId="3" fillId="0" borderId="8" xfId="0" applyFont="1" applyFill="1" applyBorder="1"/>
    <xf numFmtId="0" fontId="3" fillId="0" borderId="11" xfId="0" applyFont="1" applyFill="1" applyBorder="1"/>
    <xf numFmtId="0" fontId="3" fillId="0" borderId="15" xfId="0" applyFont="1" applyBorder="1"/>
    <xf numFmtId="0" fontId="8" fillId="0" borderId="7" xfId="0" applyFont="1" applyBorder="1"/>
    <xf numFmtId="9" fontId="3" fillId="0" borderId="9" xfId="1" applyFont="1" applyBorder="1"/>
    <xf numFmtId="9" fontId="3" fillId="0" borderId="12" xfId="1" applyFont="1" applyBorder="1"/>
    <xf numFmtId="9" fontId="3" fillId="0" borderId="6" xfId="1" applyFont="1" applyBorder="1"/>
    <xf numFmtId="179" fontId="3" fillId="0" borderId="0" xfId="1" applyNumberFormat="1" applyFont="1"/>
    <xf numFmtId="10" fontId="3" fillId="0" borderId="6" xfId="1" applyNumberFormat="1" applyFont="1" applyBorder="1"/>
    <xf numFmtId="10" fontId="3" fillId="0" borderId="10" xfId="1" applyNumberFormat="1" applyFont="1" applyBorder="1"/>
    <xf numFmtId="10" fontId="3" fillId="0" borderId="14" xfId="1" applyNumberFormat="1" applyFont="1" applyBorder="1"/>
    <xf numFmtId="0" fontId="3" fillId="0" borderId="16" xfId="0" applyFont="1" applyBorder="1"/>
    <xf numFmtId="0" fontId="3" fillId="0" borderId="17" xfId="0" applyFont="1" applyBorder="1"/>
    <xf numFmtId="179" fontId="3" fillId="0" borderId="18" xfId="1" applyNumberFormat="1" applyFont="1" applyBorder="1"/>
    <xf numFmtId="0" fontId="3" fillId="0" borderId="19" xfId="0" applyFont="1" applyBorder="1"/>
    <xf numFmtId="177" fontId="3" fillId="0" borderId="20" xfId="0" applyNumberFormat="1" applyFont="1" applyBorder="1"/>
    <xf numFmtId="9" fontId="3" fillId="0" borderId="20" xfId="1" applyFont="1" applyBorder="1"/>
    <xf numFmtId="9" fontId="3" fillId="0" borderId="20" xfId="0" applyNumberFormat="1" applyFont="1" applyBorder="1"/>
    <xf numFmtId="177" fontId="3" fillId="0" borderId="17" xfId="0" applyNumberFormat="1" applyFont="1" applyBorder="1"/>
    <xf numFmtId="9" fontId="3" fillId="0" borderId="17" xfId="0" applyNumberFormat="1" applyFont="1" applyBorder="1"/>
    <xf numFmtId="10" fontId="3" fillId="0" borderId="17" xfId="1" applyNumberFormat="1" applyFont="1" applyBorder="1"/>
    <xf numFmtId="180" fontId="3" fillId="0" borderId="0" xfId="0" applyNumberFormat="1" applyFont="1"/>
    <xf numFmtId="177" fontId="3" fillId="0" borderId="6" xfId="1" applyNumberFormat="1" applyFont="1" applyBorder="1"/>
    <xf numFmtId="177" fontId="3" fillId="0" borderId="10" xfId="1" applyNumberFormat="1" applyFont="1" applyBorder="1"/>
    <xf numFmtId="177" fontId="3" fillId="0" borderId="14" xfId="1" applyNumberFormat="1" applyFont="1" applyBorder="1"/>
    <xf numFmtId="177" fontId="3" fillId="0" borderId="0" xfId="0" applyNumberFormat="1" applyFont="1"/>
    <xf numFmtId="181" fontId="3" fillId="0" borderId="0" xfId="0" applyNumberFormat="1" applyFont="1"/>
    <xf numFmtId="181" fontId="3" fillId="0" borderId="0" xfId="1" applyNumberFormat="1" applyFont="1"/>
    <xf numFmtId="181" fontId="3" fillId="0" borderId="18" xfId="1" applyNumberFormat="1" applyFont="1" applyBorder="1"/>
    <xf numFmtId="181" fontId="3" fillId="0" borderId="20" xfId="1" applyNumberFormat="1" applyFont="1" applyBorder="1"/>
    <xf numFmtId="181" fontId="3" fillId="0" borderId="20" xfId="0" applyNumberFormat="1" applyFont="1" applyBorder="1"/>
    <xf numFmtId="181" fontId="3" fillId="0" borderId="17" xfId="0" applyNumberFormat="1" applyFont="1" applyBorder="1"/>
    <xf numFmtId="181" fontId="3" fillId="0" borderId="17" xfId="1" applyNumberFormat="1" applyFont="1" applyBorder="1"/>
    <xf numFmtId="0" fontId="3" fillId="0" borderId="0" xfId="0" applyFont="1" applyFill="1"/>
    <xf numFmtId="0" fontId="3" fillId="0" borderId="8" xfId="0" applyFont="1" applyBorder="1" applyAlignment="1">
      <alignment horizontal="left"/>
    </xf>
    <xf numFmtId="9" fontId="3" fillId="0" borderId="9" xfId="0" applyNumberFormat="1" applyFont="1" applyBorder="1" applyAlignment="1">
      <alignment horizontal="center"/>
    </xf>
    <xf numFmtId="9" fontId="3" fillId="0" borderId="0" xfId="0" applyNumberFormat="1" applyFont="1" applyBorder="1" applyAlignment="1">
      <alignment horizontal="center"/>
    </xf>
    <xf numFmtId="9" fontId="3" fillId="0" borderId="10" xfId="0" applyNumberFormat="1" applyFont="1" applyBorder="1" applyAlignment="1">
      <alignment horizontal="center"/>
    </xf>
    <xf numFmtId="9" fontId="3" fillId="0" borderId="12" xfId="0" applyNumberFormat="1" applyFont="1" applyBorder="1" applyAlignment="1">
      <alignment horizontal="center"/>
    </xf>
    <xf numFmtId="9" fontId="3" fillId="0" borderId="13" xfId="0" applyNumberFormat="1" applyFont="1" applyBorder="1" applyAlignment="1">
      <alignment horizontal="center"/>
    </xf>
    <xf numFmtId="9" fontId="3" fillId="0" borderId="14" xfId="0" applyNumberFormat="1" applyFont="1" applyBorder="1" applyAlignment="1">
      <alignment horizontal="center"/>
    </xf>
    <xf numFmtId="0" fontId="4" fillId="0" borderId="4" xfId="0" applyFont="1" applyBorder="1" applyAlignment="1">
      <alignment horizontal="center"/>
    </xf>
    <xf numFmtId="0" fontId="4" fillId="0" borderId="5" xfId="0" applyFont="1" applyBorder="1" applyAlignment="1">
      <alignment horizontal="center"/>
    </xf>
    <xf numFmtId="0" fontId="4" fillId="0" borderId="6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  <xf numFmtId="0" fontId="4" fillId="0" borderId="3" xfId="0" applyFont="1" applyBorder="1" applyAlignment="1">
      <alignment horizontal="center"/>
    </xf>
  </cellXfs>
  <cellStyles count="2">
    <cellStyle name="백분율" xfId="1" builtinId="5"/>
    <cellStyle name="표준" xfId="0" builtinId="0"/>
  </cellStyles>
  <dxfs count="2504"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</dxfs>
  <tableStyles count="0" defaultTableStyle="TableStyleMedium9" defaultPivotStyle="PivotStyleMedium4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7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8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4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9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5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10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6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11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7.xml"/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12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8.xml"/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9.xml"/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7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altLang="ko-KR"/>
              <a:t>Y PSNR vs Bitrate</a:t>
            </a:r>
          </a:p>
        </c:rich>
      </c:tx>
      <c:layout>
        <c:manualLayout>
          <c:xMode val="edge"/>
          <c:yMode val="edge"/>
          <c:x val="0.42148731408573925"/>
          <c:y val="3.141368867353119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4197200950392089E-2"/>
          <c:y val="9.7436060089576809E-2"/>
          <c:w val="0.87264767684938749"/>
          <c:h val="0.75555681683496401"/>
        </c:manualLayout>
      </c:layout>
      <c:scatterChart>
        <c:scatterStyle val="smoothMarker"/>
        <c:varyColors val="0"/>
        <c:ser>
          <c:idx val="0"/>
          <c:order val="0"/>
          <c:tx>
            <c:strRef>
              <c:f>Summary!$K$2</c:f>
              <c:strCache>
                <c:ptCount val="1"/>
                <c:pt idx="0">
                  <c:v>HM 10.1 Default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Plot!$AD$3:$AD$6</c:f>
              <c:numCache>
                <c:formatCode>General</c:formatCode>
                <c:ptCount val="4"/>
                <c:pt idx="0">
                  <c:v>3623.6352000000002</c:v>
                </c:pt>
                <c:pt idx="1">
                  <c:v>1435.6056000000001</c:v>
                </c:pt>
                <c:pt idx="2">
                  <c:v>651.46320000000003</c:v>
                </c:pt>
                <c:pt idx="3">
                  <c:v>328.44959999999998</c:v>
                </c:pt>
              </c:numCache>
            </c:numRef>
          </c:xVal>
          <c:yVal>
            <c:numRef>
              <c:f>Plot!$AE$3:$AE$6</c:f>
              <c:numCache>
                <c:formatCode>General</c:formatCode>
                <c:ptCount val="4"/>
                <c:pt idx="0">
                  <c:v>43.885019999999997</c:v>
                </c:pt>
                <c:pt idx="1">
                  <c:v>41.079810999999999</c:v>
                </c:pt>
                <c:pt idx="2">
                  <c:v>38.411698000000001</c:v>
                </c:pt>
                <c:pt idx="3">
                  <c:v>35.796441999999999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Summary!$K$3</c:f>
              <c:strCache>
                <c:ptCount val="1"/>
                <c:pt idx="0">
                  <c:v>Proposed</c:v>
                </c:pt>
              </c:strCache>
            </c:strRef>
          </c:tx>
          <c:spPr>
            <a:ln w="12700">
              <a:solidFill>
                <a:srgbClr val="DD2D32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DD2D32"/>
              </a:solidFill>
              <a:ln>
                <a:solidFill>
                  <a:srgbClr val="DD2D32"/>
                </a:solidFill>
                <a:prstDash val="solid"/>
              </a:ln>
            </c:spPr>
          </c:marker>
          <c:xVal>
            <c:numRef>
              <c:f>Plot!$AI$3:$AI$6</c:f>
              <c:numCache>
                <c:formatCode>General</c:formatCode>
                <c:ptCount val="4"/>
                <c:pt idx="0">
                  <c:v>3807.7031999999999</c:v>
                </c:pt>
                <c:pt idx="1">
                  <c:v>1478.6112000000001</c:v>
                </c:pt>
                <c:pt idx="2">
                  <c:v>663.46079999999995</c:v>
                </c:pt>
                <c:pt idx="3">
                  <c:v>331.01280000000003</c:v>
                </c:pt>
              </c:numCache>
            </c:numRef>
          </c:xVal>
          <c:yVal>
            <c:numRef>
              <c:f>Plot!$AJ$3:$AJ$6</c:f>
              <c:numCache>
                <c:formatCode>General</c:formatCode>
                <c:ptCount val="4"/>
                <c:pt idx="0">
                  <c:v>43.747928999999999</c:v>
                </c:pt>
                <c:pt idx="1">
                  <c:v>40.925694</c:v>
                </c:pt>
                <c:pt idx="2">
                  <c:v>38.266008999999997</c:v>
                </c:pt>
                <c:pt idx="3">
                  <c:v>35.711056999999997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2020672"/>
        <c:axId val="322015576"/>
      </c:scatterChart>
      <c:valAx>
        <c:axId val="3220206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9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altLang="ko-KR"/>
                  <a:t>bitrate (kbps)</a:t>
                </a:r>
              </a:p>
            </c:rich>
          </c:tx>
          <c:layout>
            <c:manualLayout>
              <c:xMode val="edge"/>
              <c:yMode val="edge"/>
              <c:x val="0.45950384108963127"/>
              <c:y val="0.929319604280234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ko-KR"/>
          </a:p>
        </c:txPr>
        <c:crossAx val="322015576"/>
        <c:crosses val="autoZero"/>
        <c:crossBetween val="midCat"/>
      </c:valAx>
      <c:valAx>
        <c:axId val="322015576"/>
        <c:scaling>
          <c:orientation val="minMax"/>
          <c:max val="49.5"/>
          <c:min val="4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80808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altLang="ko-KR"/>
                  <a:t>Y PSNR (dB)</a:t>
                </a:r>
              </a:p>
            </c:rich>
          </c:tx>
          <c:layout>
            <c:manualLayout>
              <c:xMode val="edge"/>
              <c:yMode val="edge"/>
              <c:x val="2.3140479533081619E-2"/>
              <c:y val="0.4214661372456648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ko-KR"/>
          </a:p>
        </c:txPr>
        <c:crossAx val="322020672"/>
        <c:crosses val="autoZero"/>
        <c:crossBetween val="midCat"/>
        <c:majorUnit val="1"/>
        <c:minorUnit val="0.5"/>
      </c:valAx>
      <c:spPr>
        <a:solidFill>
          <a:srgbClr val="D9D9D9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67331188252631213"/>
          <c:y val="0.80342005967202823"/>
          <c:w val="0.23920289033638242"/>
          <c:h val="7.0085649550216456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5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ko-KR"/>
    </a:p>
  </c:txPr>
  <c:printSettings>
    <c:headerFooter alignWithMargins="0"/>
    <c:pageMargins b="1" l="0.75" r="0.75" t="1" header="0.5" footer="0.5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7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altLang="ko-KR"/>
              <a:t>U PSNR vs Bitrate</a:t>
            </a:r>
          </a:p>
        </c:rich>
      </c:tx>
      <c:layout>
        <c:manualLayout>
          <c:xMode val="edge"/>
          <c:yMode val="edge"/>
          <c:x val="0.4188745406824147"/>
          <c:y val="3.1331517972519193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6.3333402054472715E-2"/>
          <c:y val="9.8807495741056212E-2"/>
          <c:w val="0.88333429181238265"/>
          <c:h val="0.75809199318568998"/>
        </c:manualLayout>
      </c:layout>
      <c:scatterChart>
        <c:scatterStyle val="smoothMarker"/>
        <c:varyColors val="0"/>
        <c:ser>
          <c:idx val="0"/>
          <c:order val="0"/>
          <c:tx>
            <c:strRef>
              <c:f>Summary!$K$2</c:f>
              <c:strCache>
                <c:ptCount val="1"/>
                <c:pt idx="0">
                  <c:v>HM 10.1 Default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Plot!$AD$3:$AD$6</c:f>
              <c:numCache>
                <c:formatCode>General</c:formatCode>
                <c:ptCount val="4"/>
                <c:pt idx="0">
                  <c:v>3623.6352000000002</c:v>
                </c:pt>
                <c:pt idx="1">
                  <c:v>1435.6056000000001</c:v>
                </c:pt>
                <c:pt idx="2">
                  <c:v>651.46320000000003</c:v>
                </c:pt>
                <c:pt idx="3">
                  <c:v>328.44959999999998</c:v>
                </c:pt>
              </c:numCache>
            </c:numRef>
          </c:xVal>
          <c:yVal>
            <c:numRef>
              <c:f>Plot!$AF$3:$AF$6</c:f>
              <c:numCache>
                <c:formatCode>General</c:formatCode>
                <c:ptCount val="4"/>
                <c:pt idx="0">
                  <c:v>44.572904000000001</c:v>
                </c:pt>
                <c:pt idx="1">
                  <c:v>42.407150000000001</c:v>
                </c:pt>
                <c:pt idx="2">
                  <c:v>40.657561000000001</c:v>
                </c:pt>
                <c:pt idx="3">
                  <c:v>39.477668999999999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Summary!$K$3</c:f>
              <c:strCache>
                <c:ptCount val="1"/>
                <c:pt idx="0">
                  <c:v>Proposed</c:v>
                </c:pt>
              </c:strCache>
            </c:strRef>
          </c:tx>
          <c:spPr>
            <a:ln w="12700">
              <a:solidFill>
                <a:srgbClr val="DD2D32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DD2D32"/>
              </a:solidFill>
              <a:ln>
                <a:solidFill>
                  <a:srgbClr val="DD2D32"/>
                </a:solidFill>
                <a:prstDash val="solid"/>
              </a:ln>
            </c:spPr>
          </c:marker>
          <c:xVal>
            <c:numRef>
              <c:f>Plot!$AI$3:$AI$6</c:f>
              <c:numCache>
                <c:formatCode>General</c:formatCode>
                <c:ptCount val="4"/>
                <c:pt idx="0">
                  <c:v>3807.7031999999999</c:v>
                </c:pt>
                <c:pt idx="1">
                  <c:v>1478.6112000000001</c:v>
                </c:pt>
                <c:pt idx="2">
                  <c:v>663.46079999999995</c:v>
                </c:pt>
                <c:pt idx="3">
                  <c:v>331.01280000000003</c:v>
                </c:pt>
              </c:numCache>
            </c:numRef>
          </c:xVal>
          <c:yVal>
            <c:numRef>
              <c:f>Plot!$AK$3:$AK$6</c:f>
              <c:numCache>
                <c:formatCode>General</c:formatCode>
                <c:ptCount val="4"/>
                <c:pt idx="0">
                  <c:v>44.495123999999997</c:v>
                </c:pt>
                <c:pt idx="1">
                  <c:v>42.363152999999997</c:v>
                </c:pt>
                <c:pt idx="2">
                  <c:v>40.636197000000003</c:v>
                </c:pt>
                <c:pt idx="3">
                  <c:v>39.444651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2017144"/>
        <c:axId val="322017536"/>
      </c:scatterChart>
      <c:valAx>
        <c:axId val="32201714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9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altLang="ko-KR"/>
                  <a:t>bitrate (kbps)</a:t>
                </a:r>
              </a:p>
            </c:rich>
          </c:tx>
          <c:layout>
            <c:manualLayout>
              <c:xMode val="edge"/>
              <c:yMode val="edge"/>
              <c:x val="0.45860962379702541"/>
              <c:y val="0.9295047999749604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ko-KR"/>
          </a:p>
        </c:txPr>
        <c:crossAx val="322017536"/>
        <c:crosses val="autoZero"/>
        <c:crossBetween val="midCat"/>
      </c:valAx>
      <c:valAx>
        <c:axId val="322017536"/>
        <c:scaling>
          <c:orientation val="minMax"/>
          <c:max val="48.5"/>
          <c:min val="43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80808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altLang="ko-KR"/>
                  <a:t>U PSNR (dB)</a:t>
                </a:r>
              </a:p>
            </c:rich>
          </c:tx>
          <c:layout>
            <c:manualLayout>
              <c:xMode val="edge"/>
              <c:yMode val="edge"/>
              <c:x val="2.3178769320501606E-2"/>
              <c:y val="0.4203660232419840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ko-KR"/>
          </a:p>
        </c:txPr>
        <c:crossAx val="322017144"/>
        <c:crosses val="autoZero"/>
        <c:crossBetween val="midCat"/>
        <c:majorUnit val="1"/>
        <c:minorUnit val="0.5"/>
      </c:valAx>
      <c:spPr>
        <a:solidFill>
          <a:srgbClr val="D9D9D9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67444514435695535"/>
          <c:y val="0.80068143100511069"/>
          <c:w val="0.24444467774861478"/>
          <c:h val="6.9846678023850028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5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ko-KR"/>
    </a:p>
  </c:txPr>
  <c:printSettings>
    <c:headerFooter alignWithMargins="0"/>
    <c:pageMargins b="1" l="0.75" r="0.75" t="1" header="0.5" footer="0.5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7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altLang="ko-KR"/>
              <a:t>V PSNR vs Bitrate</a:t>
            </a:r>
          </a:p>
        </c:rich>
      </c:tx>
      <c:layout>
        <c:manualLayout>
          <c:xMode val="edge"/>
          <c:yMode val="edge"/>
          <c:x val="0.42053018372703416"/>
          <c:y val="3.1331517972519193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333342375588515E-2"/>
          <c:y val="9.8807495741056212E-2"/>
          <c:w val="0.86333427011097019"/>
          <c:h val="0.75979557069846682"/>
        </c:manualLayout>
      </c:layout>
      <c:scatterChart>
        <c:scatterStyle val="smoothMarker"/>
        <c:varyColors val="0"/>
        <c:ser>
          <c:idx val="0"/>
          <c:order val="0"/>
          <c:tx>
            <c:strRef>
              <c:f>Summary!$K$2</c:f>
              <c:strCache>
                <c:ptCount val="1"/>
                <c:pt idx="0">
                  <c:v>HM 10.1 Default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Plot!$AD$3:$AD$6</c:f>
              <c:numCache>
                <c:formatCode>General</c:formatCode>
                <c:ptCount val="4"/>
                <c:pt idx="0">
                  <c:v>3623.6352000000002</c:v>
                </c:pt>
                <c:pt idx="1">
                  <c:v>1435.6056000000001</c:v>
                </c:pt>
                <c:pt idx="2">
                  <c:v>651.46320000000003</c:v>
                </c:pt>
                <c:pt idx="3">
                  <c:v>328.44959999999998</c:v>
                </c:pt>
              </c:numCache>
            </c:numRef>
          </c:xVal>
          <c:yVal>
            <c:numRef>
              <c:f>Plot!$AG$3:$AG$6</c:f>
              <c:numCache>
                <c:formatCode>General</c:formatCode>
                <c:ptCount val="4"/>
                <c:pt idx="0">
                  <c:v>44.104236999999998</c:v>
                </c:pt>
                <c:pt idx="1">
                  <c:v>41.883803999999998</c:v>
                </c:pt>
                <c:pt idx="2">
                  <c:v>40.155127</c:v>
                </c:pt>
                <c:pt idx="3">
                  <c:v>38.924812000000003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Summary!$K$3</c:f>
              <c:strCache>
                <c:ptCount val="1"/>
                <c:pt idx="0">
                  <c:v>Proposed</c:v>
                </c:pt>
              </c:strCache>
            </c:strRef>
          </c:tx>
          <c:spPr>
            <a:ln w="12700">
              <a:solidFill>
                <a:srgbClr val="DD2D32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DD2D32"/>
              </a:solidFill>
              <a:ln>
                <a:solidFill>
                  <a:srgbClr val="DD2D32"/>
                </a:solidFill>
                <a:prstDash val="solid"/>
              </a:ln>
            </c:spPr>
          </c:marker>
          <c:xVal>
            <c:numRef>
              <c:f>Plot!$AI$3:$AI$6</c:f>
              <c:numCache>
                <c:formatCode>General</c:formatCode>
                <c:ptCount val="4"/>
                <c:pt idx="0">
                  <c:v>3807.7031999999999</c:v>
                </c:pt>
                <c:pt idx="1">
                  <c:v>1478.6112000000001</c:v>
                </c:pt>
                <c:pt idx="2">
                  <c:v>663.46079999999995</c:v>
                </c:pt>
                <c:pt idx="3">
                  <c:v>331.01280000000003</c:v>
                </c:pt>
              </c:numCache>
            </c:numRef>
          </c:xVal>
          <c:yVal>
            <c:numRef>
              <c:f>Plot!$AL$3:$AL$6</c:f>
              <c:numCache>
                <c:formatCode>General</c:formatCode>
                <c:ptCount val="4"/>
                <c:pt idx="0">
                  <c:v>44.002105999999998</c:v>
                </c:pt>
                <c:pt idx="1">
                  <c:v>41.822096999999999</c:v>
                </c:pt>
                <c:pt idx="2">
                  <c:v>40.108117</c:v>
                </c:pt>
                <c:pt idx="3">
                  <c:v>38.884304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3678656"/>
        <c:axId val="343675912"/>
      </c:scatterChart>
      <c:valAx>
        <c:axId val="3436786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9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altLang="ko-KR"/>
                  <a:t>bitrate (kbps)</a:t>
                </a:r>
              </a:p>
            </c:rich>
          </c:tx>
          <c:layout>
            <c:manualLayout>
              <c:xMode val="edge"/>
              <c:yMode val="edge"/>
              <c:x val="0.46357655293088362"/>
              <c:y val="0.9295047999749604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ko-KR"/>
          </a:p>
        </c:txPr>
        <c:crossAx val="343675912"/>
        <c:crosses val="autoZero"/>
        <c:crossBetween val="midCat"/>
      </c:valAx>
      <c:valAx>
        <c:axId val="343675912"/>
        <c:scaling>
          <c:orientation val="minMax"/>
          <c:max val="50"/>
          <c:min val="43.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80808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altLang="ko-KR"/>
                  <a:t>V PSNR (dB)</a:t>
                </a:r>
              </a:p>
            </c:rich>
          </c:tx>
          <c:layout>
            <c:manualLayout>
              <c:xMode val="edge"/>
              <c:yMode val="edge"/>
              <c:x val="1.9867599883347915E-2"/>
              <c:y val="0.4229769234552665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ko-KR"/>
          </a:p>
        </c:txPr>
        <c:crossAx val="343678656"/>
        <c:crosses val="autoZero"/>
        <c:crossBetween val="midCat"/>
        <c:majorUnit val="1"/>
        <c:minorUnit val="0.5"/>
      </c:valAx>
      <c:spPr>
        <a:solidFill>
          <a:srgbClr val="D9D9D9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67888958880139982"/>
          <c:y val="0.81260647359454852"/>
          <c:w val="0.24444467774861478"/>
          <c:h val="6.984667802385013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5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ko-KR"/>
    </a:p>
  </c:txPr>
  <c:printSettings>
    <c:headerFooter alignWithMargins="0"/>
    <c:pageMargins b="1" l="0.75" r="0.75" t="1" header="0.5" footer="0.5"/>
    <c:pageSetup/>
  </c:printSettings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7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altLang="ko-KR"/>
              <a:t>Y PSNR vs Bitrate (in log scale)</a:t>
            </a:r>
          </a:p>
        </c:rich>
      </c:tx>
      <c:layout>
        <c:manualLayout>
          <c:xMode val="edge"/>
          <c:yMode val="edge"/>
          <c:x val="0.36303614150001162"/>
          <c:y val="3.1331517972519193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5221279567633206E-2"/>
          <c:y val="9.7103918228279393E-2"/>
          <c:w val="0.85066417628691071"/>
          <c:h val="0.75979557069846682"/>
        </c:manualLayout>
      </c:layout>
      <c:scatterChart>
        <c:scatterStyle val="smoothMarker"/>
        <c:varyColors val="0"/>
        <c:ser>
          <c:idx val="0"/>
          <c:order val="0"/>
          <c:tx>
            <c:strRef>
              <c:f>Summary!$K$2</c:f>
              <c:strCache>
                <c:ptCount val="1"/>
                <c:pt idx="0">
                  <c:v>HM 10.1 Default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Plot!$AD$3:$AD$6</c:f>
              <c:numCache>
                <c:formatCode>General</c:formatCode>
                <c:ptCount val="4"/>
                <c:pt idx="0">
                  <c:v>3623.6352000000002</c:v>
                </c:pt>
                <c:pt idx="1">
                  <c:v>1435.6056000000001</c:v>
                </c:pt>
                <c:pt idx="2">
                  <c:v>651.46320000000003</c:v>
                </c:pt>
                <c:pt idx="3">
                  <c:v>328.44959999999998</c:v>
                </c:pt>
              </c:numCache>
            </c:numRef>
          </c:xVal>
          <c:yVal>
            <c:numRef>
              <c:f>Plot!$AE$3:$AE$6</c:f>
              <c:numCache>
                <c:formatCode>General</c:formatCode>
                <c:ptCount val="4"/>
                <c:pt idx="0">
                  <c:v>43.885019999999997</c:v>
                </c:pt>
                <c:pt idx="1">
                  <c:v>41.079810999999999</c:v>
                </c:pt>
                <c:pt idx="2">
                  <c:v>38.411698000000001</c:v>
                </c:pt>
                <c:pt idx="3">
                  <c:v>35.796441999999999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Summary!$K$3</c:f>
              <c:strCache>
                <c:ptCount val="1"/>
                <c:pt idx="0">
                  <c:v>Proposed</c:v>
                </c:pt>
              </c:strCache>
            </c:strRef>
          </c:tx>
          <c:spPr>
            <a:ln w="12700">
              <a:solidFill>
                <a:srgbClr val="DD2D32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DD2D32"/>
              </a:solidFill>
              <a:ln>
                <a:solidFill>
                  <a:srgbClr val="DD2D32"/>
                </a:solidFill>
                <a:prstDash val="solid"/>
              </a:ln>
            </c:spPr>
          </c:marker>
          <c:xVal>
            <c:numRef>
              <c:f>Plot!$AI$3:$AI$6</c:f>
              <c:numCache>
                <c:formatCode>General</c:formatCode>
                <c:ptCount val="4"/>
                <c:pt idx="0">
                  <c:v>3807.7031999999999</c:v>
                </c:pt>
                <c:pt idx="1">
                  <c:v>1478.6112000000001</c:v>
                </c:pt>
                <c:pt idx="2">
                  <c:v>663.46079999999995</c:v>
                </c:pt>
                <c:pt idx="3">
                  <c:v>331.01280000000003</c:v>
                </c:pt>
              </c:numCache>
            </c:numRef>
          </c:xVal>
          <c:yVal>
            <c:numRef>
              <c:f>Plot!$AJ$3:$AJ$6</c:f>
              <c:numCache>
                <c:formatCode>General</c:formatCode>
                <c:ptCount val="4"/>
                <c:pt idx="0">
                  <c:v>43.747928999999999</c:v>
                </c:pt>
                <c:pt idx="1">
                  <c:v>40.925694</c:v>
                </c:pt>
                <c:pt idx="2">
                  <c:v>38.266008999999997</c:v>
                </c:pt>
                <c:pt idx="3">
                  <c:v>35.711056999999997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3676304"/>
        <c:axId val="343675128"/>
      </c:scatterChart>
      <c:valAx>
        <c:axId val="343676304"/>
        <c:scaling>
          <c:logBase val="10"/>
          <c:orientation val="minMax"/>
          <c:max val="1000"/>
          <c:min val="100"/>
        </c:scaling>
        <c:delete val="0"/>
        <c:axPos val="b"/>
        <c:title>
          <c:tx>
            <c:rich>
              <a:bodyPr/>
              <a:lstStyle/>
              <a:p>
                <a:pPr>
                  <a:defRPr sz="9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altLang="ko-KR"/>
                  <a:t>bitrate (kbps)</a:t>
                </a:r>
              </a:p>
            </c:rich>
          </c:tx>
          <c:layout>
            <c:manualLayout>
              <c:xMode val="edge"/>
              <c:yMode val="edge"/>
              <c:x val="0.45709555663949086"/>
              <c:y val="0.9295047999749604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ko-KR"/>
          </a:p>
        </c:txPr>
        <c:crossAx val="343675128"/>
        <c:crosses val="autoZero"/>
        <c:crossBetween val="midCat"/>
      </c:valAx>
      <c:valAx>
        <c:axId val="343675128"/>
        <c:scaling>
          <c:orientation val="minMax"/>
          <c:max val="49.5"/>
          <c:min val="4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80808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altLang="ko-KR"/>
                  <a:t>Y PSNR (dB)</a:t>
                </a:r>
              </a:p>
            </c:rich>
          </c:tx>
          <c:layout>
            <c:manualLayout>
              <c:xMode val="edge"/>
              <c:yMode val="edge"/>
              <c:x val="2.3102338977539313E-2"/>
              <c:y val="0.4229769234552665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ko-KR"/>
          </a:p>
        </c:txPr>
        <c:crossAx val="343676304"/>
        <c:crosses val="autoZero"/>
        <c:crossBetween val="midCat"/>
        <c:majorUnit val="1"/>
        <c:minorUnit val="0.5"/>
      </c:valAx>
      <c:spPr>
        <a:solidFill>
          <a:srgbClr val="D9D9D9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66814194132813043"/>
          <c:y val="0.80238500851788752"/>
          <c:w val="0.24336294799433256"/>
          <c:h val="6.984667802385013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5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ko-KR"/>
    </a:p>
  </c:txPr>
  <c:printSettings>
    <c:headerFooter alignWithMargins="0"/>
    <c:pageMargins b="1" l="0.75" r="0.75" t="1" header="0.5" footer="0.5"/>
    <c:pageSetup/>
  </c:printSettings>
  <c:userShapes r:id="rId1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216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Book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16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'AI-Main'!$B$3:$B$6</c:f>
              <c:strCache>
                <c:ptCount val="4"/>
                <c:pt idx="0">
                  <c:v>RGB</c:v>
                </c:pt>
                <c:pt idx="1">
                  <c:v>hotmirror</c:v>
                </c:pt>
              </c:strCache>
            </c:strRef>
          </c:tx>
          <c:spPr>
            <a:ln w="41275" cap="flat" cmpd="sng" algn="ctr">
              <a:solidFill>
                <a:schemeClr val="accent6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25400" cap="flat" cmpd="sng" algn="ctr">
                <a:solidFill>
                  <a:schemeClr val="accent6"/>
                </a:solidFill>
                <a:prstDash val="solid"/>
              </a:ln>
              <a:effectLst/>
            </c:spPr>
          </c:marker>
          <c:xVal>
            <c:numRef>
              <c:f>'AI-Main'!$D$3:$D$6</c:f>
              <c:numCache>
                <c:formatCode>0.00_ </c:formatCode>
                <c:ptCount val="4"/>
                <c:pt idx="0">
                  <c:v>1494.2</c:v>
                </c:pt>
                <c:pt idx="1">
                  <c:v>348.88799999999998</c:v>
                </c:pt>
                <c:pt idx="2">
                  <c:v>93.44</c:v>
                </c:pt>
                <c:pt idx="3">
                  <c:v>40.744</c:v>
                </c:pt>
              </c:numCache>
            </c:numRef>
          </c:xVal>
          <c:yVal>
            <c:numRef>
              <c:f>'AI-Main'!$E$3:$E$6</c:f>
              <c:numCache>
                <c:formatCode>0.00_ </c:formatCode>
                <c:ptCount val="4"/>
                <c:pt idx="0">
                  <c:v>49.384815000000003</c:v>
                </c:pt>
                <c:pt idx="1">
                  <c:v>48.506950000000003</c:v>
                </c:pt>
                <c:pt idx="2">
                  <c:v>47.340898000000003</c:v>
                </c:pt>
                <c:pt idx="3">
                  <c:v>45.606490999999998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'AI-Main'!$B$7:$B$10</c:f>
              <c:strCache>
                <c:ptCount val="4"/>
                <c:pt idx="0">
                  <c:v>Mixed</c:v>
                </c:pt>
              </c:strCache>
            </c:strRef>
          </c:tx>
          <c:spPr>
            <a:ln w="25400" cap="flat" cmpd="sng" algn="ctr">
              <a:solidFill>
                <a:schemeClr val="accent1"/>
              </a:solidFill>
              <a:prstDash val="solid"/>
              <a:round/>
            </a:ln>
            <a:effectLst/>
          </c:spPr>
          <c:marker>
            <c:symbol val="diamond"/>
            <c:size val="5"/>
            <c:spPr>
              <a:solidFill>
                <a:schemeClr val="accent1"/>
              </a:solidFill>
              <a:ln w="25400" cap="flat" cmpd="sng" algn="ctr">
                <a:solidFill>
                  <a:schemeClr val="accent1"/>
                </a:solidFill>
                <a:prstDash val="solid"/>
              </a:ln>
              <a:effectLst/>
            </c:spPr>
          </c:marker>
          <c:xVal>
            <c:numRef>
              <c:f>'AI-Main'!$D$7:$D$10</c:f>
              <c:numCache>
                <c:formatCode>0.00_ </c:formatCode>
                <c:ptCount val="4"/>
                <c:pt idx="0">
                  <c:v>2504.4160000000002</c:v>
                </c:pt>
                <c:pt idx="1">
                  <c:v>728.04</c:v>
                </c:pt>
                <c:pt idx="2">
                  <c:v>220.38399999999999</c:v>
                </c:pt>
                <c:pt idx="3">
                  <c:v>102.14400000000001</c:v>
                </c:pt>
              </c:numCache>
            </c:numRef>
          </c:xVal>
          <c:yVal>
            <c:numRef>
              <c:f>'AI-Main'!$E$7:$E$10</c:f>
              <c:numCache>
                <c:formatCode>0.00_ </c:formatCode>
                <c:ptCount val="4"/>
                <c:pt idx="0">
                  <c:v>48.126655999999997</c:v>
                </c:pt>
                <c:pt idx="1">
                  <c:v>46.950704000000002</c:v>
                </c:pt>
                <c:pt idx="2">
                  <c:v>45.683858000000001</c:v>
                </c:pt>
                <c:pt idx="3">
                  <c:v>43.943804999999998</c:v>
                </c:pt>
              </c:numCache>
            </c:numRef>
          </c:yVal>
          <c:smooth val="1"/>
        </c:ser>
        <c:ser>
          <c:idx val="4"/>
          <c:order val="2"/>
          <c:tx>
            <c:strRef>
              <c:f>'AI-Main'!$B$23:$B$26</c:f>
              <c:strCache>
                <c:ptCount val="4"/>
                <c:pt idx="0">
                  <c:v>RGB</c:v>
                </c:pt>
                <c:pt idx="1">
                  <c:v>Separated</c:v>
                </c:pt>
              </c:strCache>
            </c:strRef>
          </c:tx>
          <c:spPr>
            <a:ln w="25400" cap="flat" cmpd="sng" algn="ctr">
              <a:solidFill>
                <a:srgbClr val="8064A2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064A2"/>
              </a:solidFill>
              <a:ln w="25400" cap="flat" cmpd="sng" algn="ctr">
                <a:solidFill>
                  <a:srgbClr val="8064A2"/>
                </a:solidFill>
                <a:prstDash val="solid"/>
              </a:ln>
              <a:effectLst/>
            </c:spPr>
          </c:marker>
          <c:xVal>
            <c:numRef>
              <c:f>'AI-Main'!$D$23:$D$26</c:f>
              <c:numCache>
                <c:formatCode>0.00_ </c:formatCode>
                <c:ptCount val="4"/>
                <c:pt idx="0">
                  <c:v>964.29600000000005</c:v>
                </c:pt>
                <c:pt idx="1">
                  <c:v>395.536</c:v>
                </c:pt>
                <c:pt idx="2">
                  <c:v>152.55199999999999</c:v>
                </c:pt>
                <c:pt idx="3">
                  <c:v>62.887999999999998</c:v>
                </c:pt>
              </c:numCache>
            </c:numRef>
          </c:xVal>
          <c:yVal>
            <c:numRef>
              <c:f>'AI-Main'!$E$23:$E$26</c:f>
              <c:numCache>
                <c:formatCode>0.00_ </c:formatCode>
                <c:ptCount val="4"/>
                <c:pt idx="0">
                  <c:v>51.407364999999999</c:v>
                </c:pt>
                <c:pt idx="1">
                  <c:v>49.618063999999997</c:v>
                </c:pt>
                <c:pt idx="2">
                  <c:v>47.793228999999997</c:v>
                </c:pt>
                <c:pt idx="3">
                  <c:v>45.642387999999997</c:v>
                </c:pt>
              </c:numCache>
            </c:numRef>
          </c:yVal>
          <c:smooth val="1"/>
        </c:ser>
        <c:ser>
          <c:idx val="5"/>
          <c:order val="3"/>
          <c:tx>
            <c:strRef>
              <c:f>'AI-Main'!$B$19:$B$22</c:f>
              <c:strCache>
                <c:ptCount val="4"/>
                <c:pt idx="0">
                  <c:v>NIR</c:v>
                </c:pt>
                <c:pt idx="1">
                  <c:v>Separated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4BACC6"/>
              </a:solidFill>
              <a:ln w="9525">
                <a:solidFill>
                  <a:srgbClr val="4BACC6"/>
                </a:solidFill>
              </a:ln>
              <a:effectLst/>
            </c:spPr>
          </c:marker>
          <c:xVal>
            <c:numRef>
              <c:f>'AI-Main'!$D$19:$D$22</c:f>
              <c:numCache>
                <c:formatCode>0.00_ </c:formatCode>
                <c:ptCount val="4"/>
                <c:pt idx="0">
                  <c:v>62.472000000000001</c:v>
                </c:pt>
                <c:pt idx="1">
                  <c:v>31.488</c:v>
                </c:pt>
                <c:pt idx="2">
                  <c:v>17.936</c:v>
                </c:pt>
                <c:pt idx="3">
                  <c:v>10.64</c:v>
                </c:pt>
              </c:numCache>
            </c:numRef>
          </c:xVal>
          <c:yVal>
            <c:numRef>
              <c:f>'AI-Main'!$E$19:$E$22</c:f>
              <c:numCache>
                <c:formatCode>0.00_ </c:formatCode>
                <c:ptCount val="4"/>
                <c:pt idx="0">
                  <c:v>54.750073</c:v>
                </c:pt>
                <c:pt idx="1">
                  <c:v>53.498311000000001</c:v>
                </c:pt>
                <c:pt idx="2">
                  <c:v>51.666671999999998</c:v>
                </c:pt>
                <c:pt idx="3">
                  <c:v>49.610050000000001</c:v>
                </c:pt>
              </c:numCache>
            </c:numRef>
          </c:yVal>
          <c:smooth val="1"/>
        </c:ser>
        <c:ser>
          <c:idx val="2"/>
          <c:order val="4"/>
          <c:tx>
            <c:strRef>
              <c:f>'AI-Main'!$B$11:$B$14</c:f>
              <c:strCache>
                <c:ptCount val="4"/>
                <c:pt idx="0">
                  <c:v>NIR,RGB</c:v>
                </c:pt>
                <c:pt idx="2">
                  <c:v>All intra</c:v>
                </c:pt>
              </c:strCache>
            </c:strRef>
          </c:tx>
          <c:spPr>
            <a:ln w="25400" cap="flat" cmpd="sng" algn="ctr">
              <a:solidFill>
                <a:schemeClr val="accent3"/>
              </a:solidFill>
              <a:prstDash val="solid"/>
              <a:round/>
            </a:ln>
            <a:effectLst/>
          </c:spPr>
          <c:marker>
            <c:symbol val="triangle"/>
            <c:size val="5"/>
            <c:spPr>
              <a:solidFill>
                <a:schemeClr val="accent3"/>
              </a:solidFill>
              <a:ln w="25400" cap="flat" cmpd="sng" algn="ctr">
                <a:solidFill>
                  <a:schemeClr val="accent3"/>
                </a:solidFill>
                <a:prstDash val="solid"/>
              </a:ln>
              <a:effectLst/>
            </c:spPr>
          </c:marker>
          <c:xVal>
            <c:numRef>
              <c:f>'AI-Main'!$D$11:$D$14</c:f>
              <c:numCache>
                <c:formatCode>0.00_ </c:formatCode>
                <c:ptCount val="4"/>
                <c:pt idx="0">
                  <c:v>1026.992</c:v>
                </c:pt>
                <c:pt idx="1">
                  <c:v>426.05599999999998</c:v>
                </c:pt>
                <c:pt idx="2">
                  <c:v>170.17599999999999</c:v>
                </c:pt>
                <c:pt idx="3">
                  <c:v>73.08</c:v>
                </c:pt>
              </c:numCache>
            </c:numRef>
          </c:xVal>
          <c:yVal>
            <c:numRef>
              <c:f>'AI-Main'!$E$11:$E$14</c:f>
              <c:numCache>
                <c:formatCode>0.00_ </c:formatCode>
                <c:ptCount val="4"/>
                <c:pt idx="0">
                  <c:v>53.082805999999998</c:v>
                </c:pt>
                <c:pt idx="1">
                  <c:v>51.548889000000003</c:v>
                </c:pt>
                <c:pt idx="2">
                  <c:v>49.721958999999998</c:v>
                </c:pt>
                <c:pt idx="3">
                  <c:v>47.527786999999996</c:v>
                </c:pt>
              </c:numCache>
            </c:numRef>
          </c:yVal>
          <c:smooth val="1"/>
        </c:ser>
        <c:ser>
          <c:idx val="3"/>
          <c:order val="5"/>
          <c:tx>
            <c:strRef>
              <c:f>'AI-Main'!$B$27:$B$30</c:f>
              <c:strCache>
                <c:ptCount val="4"/>
                <c:pt idx="0">
                  <c:v>NIR,RGB</c:v>
                </c:pt>
                <c:pt idx="2">
                  <c:v>lowdelay</c:v>
                </c:pt>
              </c:strCache>
            </c:strRef>
          </c:tx>
          <c:spPr>
            <a:ln w="25400" cap="flat" cmpd="sng" algn="ctr">
              <a:solidFill>
                <a:schemeClr val="accent2"/>
              </a:solidFill>
              <a:prstDash val="solid"/>
              <a:round/>
            </a:ln>
            <a:effectLst/>
          </c:spPr>
          <c:marker>
            <c:symbol val="plus"/>
            <c:size val="5"/>
            <c:spPr>
              <a:solidFill>
                <a:schemeClr val="accent2"/>
              </a:solidFill>
              <a:ln w="25400" cap="flat" cmpd="sng" algn="ctr">
                <a:solidFill>
                  <a:schemeClr val="accent2"/>
                </a:solidFill>
                <a:prstDash val="solid"/>
              </a:ln>
              <a:effectLst/>
            </c:spPr>
          </c:marker>
          <c:xVal>
            <c:numRef>
              <c:f>'AI-Main'!$D$27:$D$30</c:f>
              <c:numCache>
                <c:formatCode>0.00_ </c:formatCode>
                <c:ptCount val="4"/>
                <c:pt idx="0">
                  <c:v>489.50400000000002</c:v>
                </c:pt>
                <c:pt idx="1">
                  <c:v>157.04</c:v>
                </c:pt>
                <c:pt idx="2">
                  <c:v>62.008000000000003</c:v>
                </c:pt>
                <c:pt idx="3">
                  <c:v>30.687999999999999</c:v>
                </c:pt>
              </c:numCache>
            </c:numRef>
          </c:xVal>
          <c:yVal>
            <c:numRef>
              <c:f>'AI-Main'!$E$27:$E$30</c:f>
              <c:numCache>
                <c:formatCode>0.00_ </c:formatCode>
                <c:ptCount val="4"/>
                <c:pt idx="0">
                  <c:v>52.304226</c:v>
                </c:pt>
                <c:pt idx="1">
                  <c:v>50.416220000000003</c:v>
                </c:pt>
                <c:pt idx="2">
                  <c:v>48.070822</c:v>
                </c:pt>
                <c:pt idx="3">
                  <c:v>45.670332000000002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3677872"/>
        <c:axId val="343677088"/>
      </c:scatterChart>
      <c:valAx>
        <c:axId val="343677872"/>
        <c:scaling>
          <c:orientation val="minMax"/>
          <c:max val="30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ko-KR"/>
                  <a:t>Rate(kbits)</a:t>
                </a:r>
                <a:endParaRPr lang="ko-KR" alt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0_ 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343677088"/>
        <c:crosses val="autoZero"/>
        <c:crossBetween val="midCat"/>
      </c:valAx>
      <c:valAx>
        <c:axId val="343677088"/>
        <c:scaling>
          <c:orientation val="minMax"/>
          <c:min val="4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ko-KR"/>
                  <a:t>Y-PSNR(dB)</a:t>
                </a:r>
                <a:endParaRPr lang="ko-KR" alt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0_ 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34367787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800"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216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Flower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16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'AI-Main'!$B$55:$B$58</c:f>
              <c:strCache>
                <c:ptCount val="4"/>
                <c:pt idx="0">
                  <c:v>RGB</c:v>
                </c:pt>
                <c:pt idx="1">
                  <c:v>hotmirror</c:v>
                </c:pt>
              </c:strCache>
            </c:strRef>
          </c:tx>
          <c:spPr>
            <a:ln w="41275" cap="flat" cmpd="sng" algn="ctr">
              <a:solidFill>
                <a:schemeClr val="accent6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25400" cap="flat" cmpd="sng" algn="ctr">
                <a:solidFill>
                  <a:schemeClr val="accent6"/>
                </a:solidFill>
                <a:prstDash val="solid"/>
              </a:ln>
              <a:effectLst/>
            </c:spPr>
          </c:marker>
          <c:xVal>
            <c:numRef>
              <c:f>'AI-Main'!$D$55:$D$58</c:f>
              <c:numCache>
                <c:formatCode>0.00_ </c:formatCode>
                <c:ptCount val="4"/>
                <c:pt idx="0">
                  <c:v>345.84800000000001</c:v>
                </c:pt>
                <c:pt idx="1">
                  <c:v>100.152</c:v>
                </c:pt>
                <c:pt idx="2">
                  <c:v>42</c:v>
                </c:pt>
                <c:pt idx="3">
                  <c:v>16.440000000000001</c:v>
                </c:pt>
              </c:numCache>
            </c:numRef>
          </c:xVal>
          <c:yVal>
            <c:numRef>
              <c:f>'AI-Main'!$E$55:$E$58</c:f>
              <c:numCache>
                <c:formatCode>0.00_ </c:formatCode>
                <c:ptCount val="4"/>
                <c:pt idx="0">
                  <c:v>51.991123000000002</c:v>
                </c:pt>
                <c:pt idx="1">
                  <c:v>51.321620000000003</c:v>
                </c:pt>
                <c:pt idx="2">
                  <c:v>50.263080000000002</c:v>
                </c:pt>
                <c:pt idx="3">
                  <c:v>48.831732000000002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'AI-Main'!$B$59:$B$62</c:f>
              <c:strCache>
                <c:ptCount val="4"/>
                <c:pt idx="0">
                  <c:v>Mixed</c:v>
                </c:pt>
              </c:strCache>
            </c:strRef>
          </c:tx>
          <c:spPr>
            <a:ln w="25400" cap="flat" cmpd="sng" algn="ctr">
              <a:solidFill>
                <a:schemeClr val="accent1"/>
              </a:solidFill>
              <a:prstDash val="solid"/>
              <a:round/>
            </a:ln>
            <a:effectLst/>
          </c:spPr>
          <c:marker>
            <c:symbol val="diamond"/>
            <c:size val="5"/>
            <c:spPr>
              <a:solidFill>
                <a:schemeClr val="accent1"/>
              </a:solidFill>
              <a:ln w="25400" cap="flat" cmpd="sng" algn="ctr">
                <a:solidFill>
                  <a:schemeClr val="accent1"/>
                </a:solidFill>
                <a:prstDash val="solid"/>
              </a:ln>
              <a:effectLst/>
            </c:spPr>
          </c:marker>
          <c:xVal>
            <c:numRef>
              <c:f>'AI-Main'!$D$59:$D$62</c:f>
              <c:numCache>
                <c:formatCode>0.00_ </c:formatCode>
                <c:ptCount val="4"/>
                <c:pt idx="0">
                  <c:v>1282.2</c:v>
                </c:pt>
                <c:pt idx="1">
                  <c:v>498.416</c:v>
                </c:pt>
                <c:pt idx="2">
                  <c:v>228.88800000000001</c:v>
                </c:pt>
                <c:pt idx="3">
                  <c:v>113.328</c:v>
                </c:pt>
              </c:numCache>
            </c:numRef>
          </c:xVal>
          <c:yVal>
            <c:numRef>
              <c:f>'AI-Main'!$E$59:$E$62</c:f>
              <c:numCache>
                <c:formatCode>0.00_ </c:formatCode>
                <c:ptCount val="4"/>
                <c:pt idx="0">
                  <c:v>50.346750999999998</c:v>
                </c:pt>
                <c:pt idx="1">
                  <c:v>48.918546999999997</c:v>
                </c:pt>
                <c:pt idx="2">
                  <c:v>47.315525999999998</c:v>
                </c:pt>
                <c:pt idx="3">
                  <c:v>45.349992999999998</c:v>
                </c:pt>
              </c:numCache>
            </c:numRef>
          </c:yVal>
          <c:smooth val="1"/>
        </c:ser>
        <c:ser>
          <c:idx val="4"/>
          <c:order val="2"/>
          <c:tx>
            <c:strRef>
              <c:f>'AI-Main'!$B$75:$B$78</c:f>
              <c:strCache>
                <c:ptCount val="4"/>
                <c:pt idx="0">
                  <c:v>RGB</c:v>
                </c:pt>
                <c:pt idx="1">
                  <c:v>Separated</c:v>
                </c:pt>
              </c:strCache>
            </c:strRef>
          </c:tx>
          <c:spPr>
            <a:ln w="25400" cap="flat" cmpd="sng" algn="ctr">
              <a:solidFill>
                <a:srgbClr val="8064A2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064A2"/>
              </a:solidFill>
              <a:ln w="25400" cap="flat" cmpd="sng" algn="ctr">
                <a:solidFill>
                  <a:srgbClr val="8064A2"/>
                </a:solidFill>
                <a:prstDash val="solid"/>
              </a:ln>
              <a:effectLst/>
            </c:spPr>
          </c:marker>
          <c:xVal>
            <c:numRef>
              <c:f>'AI-Main'!$D$75:$D$78</c:f>
              <c:numCache>
                <c:formatCode>0.00_ </c:formatCode>
                <c:ptCount val="4"/>
                <c:pt idx="0">
                  <c:v>1025</c:v>
                </c:pt>
                <c:pt idx="1">
                  <c:v>428.91199999999998</c:v>
                </c:pt>
                <c:pt idx="2">
                  <c:v>150.54400000000001</c:v>
                </c:pt>
                <c:pt idx="3">
                  <c:v>45.015999999999998</c:v>
                </c:pt>
              </c:numCache>
            </c:numRef>
          </c:xVal>
          <c:yVal>
            <c:numRef>
              <c:f>'AI-Main'!$E$75:$E$78</c:f>
              <c:numCache>
                <c:formatCode>0.00_ </c:formatCode>
                <c:ptCount val="4"/>
                <c:pt idx="0">
                  <c:v>52.597866000000003</c:v>
                </c:pt>
                <c:pt idx="1">
                  <c:v>50.706018</c:v>
                </c:pt>
                <c:pt idx="2">
                  <c:v>49.120193</c:v>
                </c:pt>
                <c:pt idx="3">
                  <c:v>47.852223000000002</c:v>
                </c:pt>
              </c:numCache>
            </c:numRef>
          </c:yVal>
          <c:smooth val="1"/>
        </c:ser>
        <c:ser>
          <c:idx val="5"/>
          <c:order val="3"/>
          <c:tx>
            <c:strRef>
              <c:f>'AI-Main'!$B$71:$B$74</c:f>
              <c:strCache>
                <c:ptCount val="4"/>
                <c:pt idx="0">
                  <c:v>NIR</c:v>
                </c:pt>
                <c:pt idx="1">
                  <c:v>Separated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4BACC6"/>
              </a:solidFill>
              <a:ln w="9525">
                <a:solidFill>
                  <a:srgbClr val="4BACC6"/>
                </a:solidFill>
              </a:ln>
              <a:effectLst/>
            </c:spPr>
          </c:marker>
          <c:xVal>
            <c:numRef>
              <c:f>'AI-Main'!$D$71:$D$74</c:f>
              <c:numCache>
                <c:formatCode>0.00_ </c:formatCode>
                <c:ptCount val="4"/>
                <c:pt idx="0">
                  <c:v>142.06399999999999</c:v>
                </c:pt>
                <c:pt idx="1">
                  <c:v>75.703999999999994</c:v>
                </c:pt>
                <c:pt idx="2">
                  <c:v>41.671999999999997</c:v>
                </c:pt>
                <c:pt idx="3">
                  <c:v>23.824000000000002</c:v>
                </c:pt>
              </c:numCache>
            </c:numRef>
          </c:xVal>
          <c:yVal>
            <c:numRef>
              <c:f>'AI-Main'!$E$71:$E$74</c:f>
              <c:numCache>
                <c:formatCode>0.00_ </c:formatCode>
                <c:ptCount val="4"/>
                <c:pt idx="0">
                  <c:v>54.208452000000001</c:v>
                </c:pt>
                <c:pt idx="1">
                  <c:v>52.104235000000003</c:v>
                </c:pt>
                <c:pt idx="2">
                  <c:v>49.850070000000002</c:v>
                </c:pt>
                <c:pt idx="3">
                  <c:v>47.323104999999998</c:v>
                </c:pt>
              </c:numCache>
            </c:numRef>
          </c:yVal>
          <c:smooth val="1"/>
        </c:ser>
        <c:ser>
          <c:idx val="2"/>
          <c:order val="4"/>
          <c:tx>
            <c:strRef>
              <c:f>'AI-Main'!$B$63:$B$66</c:f>
              <c:strCache>
                <c:ptCount val="4"/>
                <c:pt idx="0">
                  <c:v>NIR,RGB</c:v>
                </c:pt>
                <c:pt idx="2">
                  <c:v>All intra</c:v>
                </c:pt>
              </c:strCache>
            </c:strRef>
          </c:tx>
          <c:spPr>
            <a:ln w="25400" cap="flat" cmpd="sng" algn="ctr">
              <a:solidFill>
                <a:schemeClr val="accent3"/>
              </a:solidFill>
              <a:prstDash val="solid"/>
              <a:round/>
            </a:ln>
            <a:effectLst/>
          </c:spPr>
          <c:marker>
            <c:symbol val="triangle"/>
            <c:size val="5"/>
            <c:spPr>
              <a:solidFill>
                <a:schemeClr val="accent3"/>
              </a:solidFill>
              <a:ln w="25400" cap="flat" cmpd="sng" algn="ctr">
                <a:solidFill>
                  <a:schemeClr val="accent3"/>
                </a:solidFill>
                <a:prstDash val="solid"/>
              </a:ln>
              <a:effectLst/>
            </c:spPr>
          </c:marker>
          <c:xVal>
            <c:numRef>
              <c:f>'AI-Main'!$D$63:$D$66</c:f>
              <c:numCache>
                <c:formatCode>0.00_ </c:formatCode>
                <c:ptCount val="4"/>
                <c:pt idx="0">
                  <c:v>1167.672</c:v>
                </c:pt>
                <c:pt idx="1">
                  <c:v>504.00799999999998</c:v>
                </c:pt>
                <c:pt idx="2">
                  <c:v>192.136</c:v>
                </c:pt>
                <c:pt idx="3">
                  <c:v>68.504000000000005</c:v>
                </c:pt>
              </c:numCache>
            </c:numRef>
          </c:xVal>
          <c:yVal>
            <c:numRef>
              <c:f>'AI-Main'!$E$63:$E$66</c:f>
              <c:numCache>
                <c:formatCode>0.00_ </c:formatCode>
                <c:ptCount val="4"/>
                <c:pt idx="0">
                  <c:v>53.404437999999999</c:v>
                </c:pt>
                <c:pt idx="1">
                  <c:v>51.388286999999998</c:v>
                </c:pt>
                <c:pt idx="2">
                  <c:v>49.465676999999999</c:v>
                </c:pt>
                <c:pt idx="3">
                  <c:v>47.557830000000003</c:v>
                </c:pt>
              </c:numCache>
            </c:numRef>
          </c:yVal>
          <c:smooth val="1"/>
        </c:ser>
        <c:ser>
          <c:idx val="3"/>
          <c:order val="5"/>
          <c:tx>
            <c:strRef>
              <c:f>'AI-Main'!$B$79:$B$82</c:f>
              <c:strCache>
                <c:ptCount val="4"/>
                <c:pt idx="0">
                  <c:v>NIR,RGB</c:v>
                </c:pt>
                <c:pt idx="2">
                  <c:v>lowdelay</c:v>
                </c:pt>
              </c:strCache>
            </c:strRef>
          </c:tx>
          <c:spPr>
            <a:ln w="25400" cap="flat" cmpd="sng" algn="ctr">
              <a:solidFill>
                <a:schemeClr val="accent2"/>
              </a:solidFill>
              <a:prstDash val="solid"/>
              <a:round/>
            </a:ln>
            <a:effectLst/>
          </c:spPr>
          <c:marker>
            <c:symbol val="plus"/>
            <c:size val="5"/>
            <c:spPr>
              <a:solidFill>
                <a:schemeClr val="accent2"/>
              </a:solidFill>
              <a:ln w="25400" cap="flat" cmpd="sng" algn="ctr">
                <a:solidFill>
                  <a:schemeClr val="accent2"/>
                </a:solidFill>
                <a:prstDash val="solid"/>
              </a:ln>
              <a:effectLst/>
            </c:spPr>
          </c:marker>
          <c:xVal>
            <c:numRef>
              <c:f>'AI-Main'!$D$79:$D$82</c:f>
              <c:numCache>
                <c:formatCode>0.00_ </c:formatCode>
                <c:ptCount val="4"/>
                <c:pt idx="0">
                  <c:v>616.76</c:v>
                </c:pt>
                <c:pt idx="1">
                  <c:v>202.352</c:v>
                </c:pt>
                <c:pt idx="2">
                  <c:v>67.751999999999995</c:v>
                </c:pt>
                <c:pt idx="3">
                  <c:v>31.568000000000001</c:v>
                </c:pt>
              </c:numCache>
            </c:numRef>
          </c:xVal>
          <c:yVal>
            <c:numRef>
              <c:f>'AI-Main'!$E$79:$E$82</c:f>
              <c:numCache>
                <c:formatCode>0.00_ </c:formatCode>
                <c:ptCount val="4"/>
                <c:pt idx="0">
                  <c:v>52.536499999999997</c:v>
                </c:pt>
                <c:pt idx="1">
                  <c:v>50.450966000000001</c:v>
                </c:pt>
                <c:pt idx="2">
                  <c:v>48.345790999999998</c:v>
                </c:pt>
                <c:pt idx="3">
                  <c:v>46.030946999999998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3675520"/>
        <c:axId val="343678264"/>
      </c:scatterChart>
      <c:valAx>
        <c:axId val="343675520"/>
        <c:scaling>
          <c:orientation val="minMax"/>
          <c:max val="15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ko-KR"/>
                  <a:t>Rate(kbits)</a:t>
                </a:r>
                <a:endParaRPr lang="ko-KR" alt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0_ 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343678264"/>
        <c:crosses val="autoZero"/>
        <c:crossBetween val="midCat"/>
      </c:valAx>
      <c:valAx>
        <c:axId val="343678264"/>
        <c:scaling>
          <c:orientation val="minMax"/>
          <c:min val="4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ko-KR"/>
                  <a:t>Y-PSNR(dB)</a:t>
                </a:r>
                <a:endParaRPr lang="ko-KR" alt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0_ 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3436755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800"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216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Miniature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16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'AI-Main'!$B$107:$B$110</c:f>
              <c:strCache>
                <c:ptCount val="4"/>
                <c:pt idx="0">
                  <c:v>RGB</c:v>
                </c:pt>
                <c:pt idx="1">
                  <c:v>hotmirror</c:v>
                </c:pt>
              </c:strCache>
            </c:strRef>
          </c:tx>
          <c:spPr>
            <a:ln w="41275" cap="flat" cmpd="sng" algn="ctr">
              <a:solidFill>
                <a:schemeClr val="accent6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25400" cap="flat" cmpd="sng" algn="ctr">
                <a:solidFill>
                  <a:schemeClr val="accent6"/>
                </a:solidFill>
                <a:prstDash val="solid"/>
              </a:ln>
              <a:effectLst/>
            </c:spPr>
          </c:marker>
          <c:xVal>
            <c:numRef>
              <c:f>'AI-Main'!$D$107:$D$110</c:f>
              <c:numCache>
                <c:formatCode>0.00_ </c:formatCode>
                <c:ptCount val="4"/>
                <c:pt idx="0">
                  <c:v>211.94399999999999</c:v>
                </c:pt>
                <c:pt idx="1">
                  <c:v>40.887999999999998</c:v>
                </c:pt>
                <c:pt idx="2">
                  <c:v>13.832000000000001</c:v>
                </c:pt>
                <c:pt idx="3">
                  <c:v>8.64</c:v>
                </c:pt>
              </c:numCache>
            </c:numRef>
          </c:xVal>
          <c:yVal>
            <c:numRef>
              <c:f>'AI-Main'!$E$107:$E$110</c:f>
              <c:numCache>
                <c:formatCode>0.00_ </c:formatCode>
                <c:ptCount val="4"/>
                <c:pt idx="0">
                  <c:v>52.438383999999999</c:v>
                </c:pt>
                <c:pt idx="1">
                  <c:v>52.070557000000001</c:v>
                </c:pt>
                <c:pt idx="2">
                  <c:v>51.462806</c:v>
                </c:pt>
                <c:pt idx="3">
                  <c:v>50.705590999999998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'AI-Main'!$B$111:$B$114</c:f>
              <c:strCache>
                <c:ptCount val="4"/>
                <c:pt idx="0">
                  <c:v>Mixed</c:v>
                </c:pt>
              </c:strCache>
            </c:strRef>
          </c:tx>
          <c:spPr>
            <a:ln w="25400" cap="flat" cmpd="sng" algn="ctr">
              <a:solidFill>
                <a:schemeClr val="accent1"/>
              </a:solidFill>
              <a:prstDash val="solid"/>
              <a:round/>
            </a:ln>
            <a:effectLst/>
          </c:spPr>
          <c:marker>
            <c:symbol val="diamond"/>
            <c:size val="5"/>
            <c:spPr>
              <a:solidFill>
                <a:schemeClr val="accent1"/>
              </a:solidFill>
              <a:ln w="25400" cap="flat" cmpd="sng" algn="ctr">
                <a:solidFill>
                  <a:schemeClr val="accent1"/>
                </a:solidFill>
                <a:prstDash val="solid"/>
              </a:ln>
              <a:effectLst/>
            </c:spPr>
          </c:marker>
          <c:xVal>
            <c:numRef>
              <c:f>'AI-Main'!$D$111:$D$114</c:f>
              <c:numCache>
                <c:formatCode>0.00_ </c:formatCode>
                <c:ptCount val="4"/>
                <c:pt idx="0">
                  <c:v>586.75199999999995</c:v>
                </c:pt>
                <c:pt idx="1">
                  <c:v>108.52</c:v>
                </c:pt>
                <c:pt idx="2">
                  <c:v>38.880000000000003</c:v>
                </c:pt>
                <c:pt idx="3">
                  <c:v>16.472000000000001</c:v>
                </c:pt>
              </c:numCache>
            </c:numRef>
          </c:xVal>
          <c:yVal>
            <c:numRef>
              <c:f>'AI-Main'!$E$111:$E$114</c:f>
              <c:numCache>
                <c:formatCode>0.00_ </c:formatCode>
                <c:ptCount val="4"/>
                <c:pt idx="0">
                  <c:v>51.121566999999999</c:v>
                </c:pt>
                <c:pt idx="1">
                  <c:v>50.537252000000002</c:v>
                </c:pt>
                <c:pt idx="2">
                  <c:v>49.773477999999997</c:v>
                </c:pt>
                <c:pt idx="3">
                  <c:v>48.495438</c:v>
                </c:pt>
              </c:numCache>
            </c:numRef>
          </c:yVal>
          <c:smooth val="1"/>
        </c:ser>
        <c:ser>
          <c:idx val="4"/>
          <c:order val="2"/>
          <c:tx>
            <c:strRef>
              <c:f>'AI-Main'!$B$127:$B$130</c:f>
              <c:strCache>
                <c:ptCount val="4"/>
                <c:pt idx="0">
                  <c:v>RGB</c:v>
                </c:pt>
                <c:pt idx="1">
                  <c:v>Separated</c:v>
                </c:pt>
              </c:strCache>
            </c:strRef>
          </c:tx>
          <c:spPr>
            <a:ln w="25400" cap="flat" cmpd="sng" algn="ctr">
              <a:solidFill>
                <a:srgbClr val="8064A2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064A2"/>
              </a:solidFill>
              <a:ln w="25400" cap="flat" cmpd="sng" algn="ctr">
                <a:solidFill>
                  <a:srgbClr val="8064A2"/>
                </a:solidFill>
                <a:prstDash val="solid"/>
              </a:ln>
              <a:effectLst/>
            </c:spPr>
          </c:marker>
          <c:xVal>
            <c:numRef>
              <c:f>'AI-Main'!$D$127:$D$130</c:f>
              <c:numCache>
                <c:formatCode>0.00_ </c:formatCode>
                <c:ptCount val="4"/>
                <c:pt idx="0">
                  <c:v>417.96800000000002</c:v>
                </c:pt>
                <c:pt idx="1">
                  <c:v>129.328</c:v>
                </c:pt>
                <c:pt idx="2">
                  <c:v>33.927999999999997</c:v>
                </c:pt>
                <c:pt idx="3">
                  <c:v>13.496</c:v>
                </c:pt>
              </c:numCache>
            </c:numRef>
          </c:xVal>
          <c:yVal>
            <c:numRef>
              <c:f>'AI-Main'!$E$127:$E$130</c:f>
              <c:numCache>
                <c:formatCode>0.00_ </c:formatCode>
                <c:ptCount val="4"/>
                <c:pt idx="0">
                  <c:v>54.301313</c:v>
                </c:pt>
                <c:pt idx="1">
                  <c:v>53.470599</c:v>
                </c:pt>
                <c:pt idx="2">
                  <c:v>52.419778999999998</c:v>
                </c:pt>
                <c:pt idx="3">
                  <c:v>50.434767000000001</c:v>
                </c:pt>
              </c:numCache>
            </c:numRef>
          </c:yVal>
          <c:smooth val="1"/>
        </c:ser>
        <c:ser>
          <c:idx val="5"/>
          <c:order val="3"/>
          <c:tx>
            <c:strRef>
              <c:f>'AI-Main'!$B$123:$B$126</c:f>
              <c:strCache>
                <c:ptCount val="4"/>
                <c:pt idx="0">
                  <c:v>NIR</c:v>
                </c:pt>
                <c:pt idx="1">
                  <c:v>Separated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4BACC6"/>
              </a:solidFill>
              <a:ln w="9525">
                <a:solidFill>
                  <a:srgbClr val="4BACC6"/>
                </a:solidFill>
              </a:ln>
              <a:effectLst/>
            </c:spPr>
          </c:marker>
          <c:xVal>
            <c:numRef>
              <c:f>'AI-Main'!$D$123:$D$126</c:f>
              <c:numCache>
                <c:formatCode>0.00_ </c:formatCode>
                <c:ptCount val="4"/>
                <c:pt idx="0">
                  <c:v>21.943999999999999</c:v>
                </c:pt>
                <c:pt idx="1">
                  <c:v>10.448</c:v>
                </c:pt>
                <c:pt idx="2">
                  <c:v>5.5759999999999996</c:v>
                </c:pt>
                <c:pt idx="3">
                  <c:v>3.7679999999999998</c:v>
                </c:pt>
              </c:numCache>
            </c:numRef>
          </c:xVal>
          <c:yVal>
            <c:numRef>
              <c:f>'AI-Main'!$E$123:$E$126</c:f>
              <c:numCache>
                <c:formatCode>0.00_ </c:formatCode>
                <c:ptCount val="4"/>
                <c:pt idx="0">
                  <c:v>56.138368999999997</c:v>
                </c:pt>
                <c:pt idx="1">
                  <c:v>55.200055999999996</c:v>
                </c:pt>
                <c:pt idx="2">
                  <c:v>53.964604000000001</c:v>
                </c:pt>
                <c:pt idx="3">
                  <c:v>51.983960000000003</c:v>
                </c:pt>
              </c:numCache>
            </c:numRef>
          </c:yVal>
          <c:smooth val="1"/>
        </c:ser>
        <c:ser>
          <c:idx val="2"/>
          <c:order val="4"/>
          <c:tx>
            <c:strRef>
              <c:f>'AI-Main'!$B$115:$B$118</c:f>
              <c:strCache>
                <c:ptCount val="4"/>
                <c:pt idx="0">
                  <c:v>NIR,RGB</c:v>
                </c:pt>
                <c:pt idx="2">
                  <c:v>All intra</c:v>
                </c:pt>
              </c:strCache>
            </c:strRef>
          </c:tx>
          <c:spPr>
            <a:ln w="25400" cap="flat" cmpd="sng" algn="ctr">
              <a:solidFill>
                <a:schemeClr val="accent3"/>
              </a:solidFill>
              <a:prstDash val="solid"/>
              <a:round/>
            </a:ln>
            <a:effectLst/>
          </c:spPr>
          <c:marker>
            <c:symbol val="triangle"/>
            <c:size val="5"/>
            <c:spPr>
              <a:solidFill>
                <a:schemeClr val="accent3"/>
              </a:solidFill>
              <a:ln w="25400" cap="flat" cmpd="sng" algn="ctr">
                <a:solidFill>
                  <a:schemeClr val="accent3"/>
                </a:solidFill>
                <a:prstDash val="solid"/>
              </a:ln>
              <a:effectLst/>
            </c:spPr>
          </c:marker>
          <c:xVal>
            <c:numRef>
              <c:f>'AI-Main'!$D$115:$D$118</c:f>
              <c:numCache>
                <c:formatCode>0.00_ </c:formatCode>
                <c:ptCount val="4"/>
                <c:pt idx="0">
                  <c:v>439.536</c:v>
                </c:pt>
                <c:pt idx="1">
                  <c:v>140.82400000000001</c:v>
                </c:pt>
                <c:pt idx="2">
                  <c:v>39.176000000000002</c:v>
                </c:pt>
                <c:pt idx="3">
                  <c:v>16.96</c:v>
                </c:pt>
              </c:numCache>
            </c:numRef>
          </c:xVal>
          <c:yVal>
            <c:numRef>
              <c:f>'AI-Main'!$E$115:$E$118</c:f>
              <c:numCache>
                <c:formatCode>0.00_ </c:formatCode>
                <c:ptCount val="4"/>
                <c:pt idx="0">
                  <c:v>55.223526</c:v>
                </c:pt>
                <c:pt idx="1">
                  <c:v>54.271346999999999</c:v>
                </c:pt>
                <c:pt idx="2">
                  <c:v>53.014052999999997</c:v>
                </c:pt>
                <c:pt idx="3">
                  <c:v>51.183523000000001</c:v>
                </c:pt>
              </c:numCache>
            </c:numRef>
          </c:yVal>
          <c:smooth val="1"/>
        </c:ser>
        <c:ser>
          <c:idx val="3"/>
          <c:order val="5"/>
          <c:tx>
            <c:strRef>
              <c:f>'AI-Main'!$B$131:$B$134</c:f>
              <c:strCache>
                <c:ptCount val="4"/>
                <c:pt idx="0">
                  <c:v>NIR,RGB</c:v>
                </c:pt>
                <c:pt idx="2">
                  <c:v>lowdelay</c:v>
                </c:pt>
              </c:strCache>
            </c:strRef>
          </c:tx>
          <c:spPr>
            <a:ln w="25400" cap="flat" cmpd="sng" algn="ctr">
              <a:solidFill>
                <a:schemeClr val="accent2"/>
              </a:solidFill>
              <a:prstDash val="solid"/>
              <a:round/>
            </a:ln>
            <a:effectLst/>
          </c:spPr>
          <c:marker>
            <c:symbol val="plus"/>
            <c:size val="5"/>
            <c:spPr>
              <a:solidFill>
                <a:schemeClr val="accent2"/>
              </a:solidFill>
              <a:ln w="25400" cap="flat" cmpd="sng" algn="ctr">
                <a:solidFill>
                  <a:schemeClr val="accent2"/>
                </a:solidFill>
                <a:prstDash val="solid"/>
              </a:ln>
              <a:effectLst/>
            </c:spPr>
          </c:marker>
          <c:xVal>
            <c:numRef>
              <c:f>'AI-Main'!$D$131:$D$134</c:f>
              <c:numCache>
                <c:formatCode>0.00_ </c:formatCode>
                <c:ptCount val="4"/>
                <c:pt idx="0">
                  <c:v>155.536</c:v>
                </c:pt>
                <c:pt idx="1">
                  <c:v>37.44</c:v>
                </c:pt>
                <c:pt idx="2">
                  <c:v>16.472000000000001</c:v>
                </c:pt>
                <c:pt idx="3">
                  <c:v>7.1520000000000001</c:v>
                </c:pt>
              </c:numCache>
            </c:numRef>
          </c:xVal>
          <c:yVal>
            <c:numRef>
              <c:f>'AI-Main'!$E$131:$E$134</c:f>
              <c:numCache>
                <c:formatCode>0.00_ </c:formatCode>
                <c:ptCount val="4"/>
                <c:pt idx="0">
                  <c:v>54.83652</c:v>
                </c:pt>
                <c:pt idx="1">
                  <c:v>53.686340999999999</c:v>
                </c:pt>
                <c:pt idx="2">
                  <c:v>51.894156000000002</c:v>
                </c:pt>
                <c:pt idx="3">
                  <c:v>49.960514000000003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3681008"/>
        <c:axId val="343679440"/>
      </c:scatterChart>
      <c:valAx>
        <c:axId val="343681008"/>
        <c:scaling>
          <c:orientation val="minMax"/>
          <c:max val="6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ko-KR"/>
                  <a:t>Rate(kbits)</a:t>
                </a:r>
                <a:endParaRPr lang="ko-KR" alt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0_ 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343679440"/>
        <c:crosses val="autoZero"/>
        <c:crossBetween val="midCat"/>
      </c:valAx>
      <c:valAx>
        <c:axId val="343679440"/>
        <c:scaling>
          <c:orientation val="minMax"/>
          <c:min val="4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ko-KR"/>
                  <a:t>Y-PSNR(dB)</a:t>
                </a:r>
                <a:endParaRPr lang="ko-KR" alt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0_ 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3436810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800"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216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Minifan2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16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'AI-Main'!$B$159:$B$162</c:f>
              <c:strCache>
                <c:ptCount val="4"/>
                <c:pt idx="0">
                  <c:v>RGB</c:v>
                </c:pt>
                <c:pt idx="1">
                  <c:v>hotmirror</c:v>
                </c:pt>
              </c:strCache>
            </c:strRef>
          </c:tx>
          <c:spPr>
            <a:ln w="41275" cap="flat" cmpd="sng" algn="ctr">
              <a:solidFill>
                <a:schemeClr val="accent6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25400" cap="flat" cmpd="sng" algn="ctr">
                <a:solidFill>
                  <a:schemeClr val="accent6"/>
                </a:solidFill>
                <a:prstDash val="solid"/>
              </a:ln>
              <a:effectLst/>
            </c:spPr>
          </c:marker>
          <c:xVal>
            <c:numRef>
              <c:f>'AI-Main'!$D$159:$D$162</c:f>
              <c:numCache>
                <c:formatCode>0.00_ </c:formatCode>
                <c:ptCount val="4"/>
                <c:pt idx="0">
                  <c:v>1716.616</c:v>
                </c:pt>
                <c:pt idx="1">
                  <c:v>417.16800000000001</c:v>
                </c:pt>
                <c:pt idx="2">
                  <c:v>164.792</c:v>
                </c:pt>
                <c:pt idx="3">
                  <c:v>83.391999999999996</c:v>
                </c:pt>
              </c:numCache>
            </c:numRef>
          </c:xVal>
          <c:yVal>
            <c:numRef>
              <c:f>'AI-Main'!$E$159:$E$162</c:f>
              <c:numCache>
                <c:formatCode>0.00_ </c:formatCode>
                <c:ptCount val="4"/>
                <c:pt idx="0">
                  <c:v>49.018113999999997</c:v>
                </c:pt>
                <c:pt idx="1">
                  <c:v>47.751860000000001</c:v>
                </c:pt>
                <c:pt idx="2">
                  <c:v>46.159120000000001</c:v>
                </c:pt>
                <c:pt idx="3">
                  <c:v>44.092736000000002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'AI-Main'!$B$163:$B$166</c:f>
              <c:strCache>
                <c:ptCount val="4"/>
                <c:pt idx="0">
                  <c:v>Mixed</c:v>
                </c:pt>
              </c:strCache>
            </c:strRef>
          </c:tx>
          <c:spPr>
            <a:ln w="25400" cap="flat" cmpd="sng" algn="ctr">
              <a:solidFill>
                <a:schemeClr val="accent1"/>
              </a:solidFill>
              <a:prstDash val="solid"/>
              <a:round/>
            </a:ln>
            <a:effectLst/>
          </c:spPr>
          <c:marker>
            <c:symbol val="diamond"/>
            <c:size val="5"/>
            <c:spPr>
              <a:solidFill>
                <a:schemeClr val="accent1"/>
              </a:solidFill>
              <a:ln w="25400" cap="flat" cmpd="sng" algn="ctr">
                <a:solidFill>
                  <a:schemeClr val="accent1"/>
                </a:solidFill>
                <a:prstDash val="solid"/>
              </a:ln>
              <a:effectLst/>
            </c:spPr>
          </c:marker>
          <c:xVal>
            <c:numRef>
              <c:f>'AI-Main'!$D$163:$D$166</c:f>
              <c:numCache>
                <c:formatCode>0.00_ </c:formatCode>
                <c:ptCount val="4"/>
                <c:pt idx="0">
                  <c:v>6789.04</c:v>
                </c:pt>
                <c:pt idx="1">
                  <c:v>3300.2</c:v>
                </c:pt>
                <c:pt idx="2">
                  <c:v>1358.3040000000001</c:v>
                </c:pt>
                <c:pt idx="3">
                  <c:v>577.84799999999996</c:v>
                </c:pt>
              </c:numCache>
            </c:numRef>
          </c:xVal>
          <c:yVal>
            <c:numRef>
              <c:f>'AI-Main'!$E$163:$E$166</c:f>
              <c:numCache>
                <c:formatCode>0.00_ </c:formatCode>
                <c:ptCount val="4"/>
                <c:pt idx="0">
                  <c:v>45.346637000000001</c:v>
                </c:pt>
                <c:pt idx="1">
                  <c:v>42.389284000000004</c:v>
                </c:pt>
                <c:pt idx="2">
                  <c:v>40.122120000000002</c:v>
                </c:pt>
                <c:pt idx="3">
                  <c:v>38.012376000000003</c:v>
                </c:pt>
              </c:numCache>
            </c:numRef>
          </c:yVal>
          <c:smooth val="1"/>
        </c:ser>
        <c:ser>
          <c:idx val="4"/>
          <c:order val="2"/>
          <c:tx>
            <c:strRef>
              <c:f>'AI-Main'!$B$179:$B$182</c:f>
              <c:strCache>
                <c:ptCount val="4"/>
                <c:pt idx="0">
                  <c:v>RGB</c:v>
                </c:pt>
                <c:pt idx="1">
                  <c:v>Separated</c:v>
                </c:pt>
              </c:strCache>
            </c:strRef>
          </c:tx>
          <c:spPr>
            <a:ln w="25400" cap="flat" cmpd="sng" algn="ctr">
              <a:solidFill>
                <a:srgbClr val="8064A2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064A2"/>
              </a:solidFill>
              <a:ln w="25400" cap="flat" cmpd="sng" algn="ctr">
                <a:solidFill>
                  <a:srgbClr val="8064A2"/>
                </a:solidFill>
                <a:prstDash val="solid"/>
              </a:ln>
              <a:effectLst/>
            </c:spPr>
          </c:marker>
          <c:xVal>
            <c:numRef>
              <c:f>'AI-Main'!$D$179:$D$182</c:f>
              <c:numCache>
                <c:formatCode>0.00_ </c:formatCode>
                <c:ptCount val="4"/>
                <c:pt idx="0">
                  <c:v>4580.8959999999997</c:v>
                </c:pt>
                <c:pt idx="1">
                  <c:v>2787.16</c:v>
                </c:pt>
                <c:pt idx="2">
                  <c:v>1543.088</c:v>
                </c:pt>
                <c:pt idx="3">
                  <c:v>754.70399999999995</c:v>
                </c:pt>
              </c:numCache>
            </c:numRef>
          </c:xVal>
          <c:yVal>
            <c:numRef>
              <c:f>'AI-Main'!$E$179:$E$182</c:f>
              <c:numCache>
                <c:formatCode>0.00_ </c:formatCode>
                <c:ptCount val="4"/>
                <c:pt idx="0">
                  <c:v>48.531694999999999</c:v>
                </c:pt>
                <c:pt idx="1">
                  <c:v>45.164676999999998</c:v>
                </c:pt>
                <c:pt idx="2">
                  <c:v>41.847245000000001</c:v>
                </c:pt>
                <c:pt idx="3">
                  <c:v>38.823926</c:v>
                </c:pt>
              </c:numCache>
            </c:numRef>
          </c:yVal>
          <c:smooth val="1"/>
        </c:ser>
        <c:ser>
          <c:idx val="5"/>
          <c:order val="3"/>
          <c:tx>
            <c:strRef>
              <c:f>'AI-Main'!$B$175:$B$178</c:f>
              <c:strCache>
                <c:ptCount val="4"/>
                <c:pt idx="0">
                  <c:v>NIR</c:v>
                </c:pt>
                <c:pt idx="1">
                  <c:v>Separated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4BACC6"/>
              </a:solidFill>
              <a:ln w="9525">
                <a:solidFill>
                  <a:srgbClr val="4BACC6"/>
                </a:solidFill>
              </a:ln>
              <a:effectLst/>
            </c:spPr>
          </c:marker>
          <c:xVal>
            <c:numRef>
              <c:f>'AI-Main'!$D$175:$D$178</c:f>
              <c:numCache>
                <c:formatCode>0.00_ </c:formatCode>
                <c:ptCount val="4"/>
                <c:pt idx="0">
                  <c:v>1132.48</c:v>
                </c:pt>
                <c:pt idx="1">
                  <c:v>666.46400000000006</c:v>
                </c:pt>
                <c:pt idx="2">
                  <c:v>384.88799999999998</c:v>
                </c:pt>
                <c:pt idx="3">
                  <c:v>220.83199999999999</c:v>
                </c:pt>
              </c:numCache>
            </c:numRef>
          </c:xVal>
          <c:yVal>
            <c:numRef>
              <c:f>'AI-Main'!$E$175:$E$178</c:f>
              <c:numCache>
                <c:formatCode>0.00_ </c:formatCode>
                <c:ptCount val="4"/>
                <c:pt idx="0">
                  <c:v>48.313071999999998</c:v>
                </c:pt>
                <c:pt idx="1">
                  <c:v>44.983851000000001</c:v>
                </c:pt>
                <c:pt idx="2">
                  <c:v>41.865425999999999</c:v>
                </c:pt>
                <c:pt idx="3">
                  <c:v>38.875869000000002</c:v>
                </c:pt>
              </c:numCache>
            </c:numRef>
          </c:yVal>
          <c:smooth val="1"/>
        </c:ser>
        <c:ser>
          <c:idx val="2"/>
          <c:order val="4"/>
          <c:tx>
            <c:strRef>
              <c:f>'AI-Main'!$B$167:$B$170</c:f>
              <c:strCache>
                <c:ptCount val="4"/>
                <c:pt idx="0">
                  <c:v>NIR,RGB</c:v>
                </c:pt>
                <c:pt idx="2">
                  <c:v>All intra</c:v>
                </c:pt>
              </c:strCache>
            </c:strRef>
          </c:tx>
          <c:spPr>
            <a:ln w="25400" cap="flat" cmpd="sng" algn="ctr">
              <a:solidFill>
                <a:schemeClr val="accent3"/>
              </a:solidFill>
              <a:prstDash val="solid"/>
              <a:round/>
            </a:ln>
            <a:effectLst/>
          </c:spPr>
          <c:marker>
            <c:symbol val="triangle"/>
            <c:size val="5"/>
            <c:spPr>
              <a:solidFill>
                <a:schemeClr val="accent3"/>
              </a:solidFill>
              <a:ln w="25400" cap="flat" cmpd="sng" algn="ctr">
                <a:solidFill>
                  <a:schemeClr val="accent3"/>
                </a:solidFill>
                <a:prstDash val="solid"/>
              </a:ln>
              <a:effectLst/>
            </c:spPr>
          </c:marker>
          <c:xVal>
            <c:numRef>
              <c:f>'AI-Main'!$D$167:$D$170</c:f>
              <c:numCache>
                <c:formatCode>0.00_ </c:formatCode>
                <c:ptCount val="4"/>
                <c:pt idx="0">
                  <c:v>5743.192</c:v>
                </c:pt>
                <c:pt idx="1">
                  <c:v>3455.5120000000002</c:v>
                </c:pt>
                <c:pt idx="2">
                  <c:v>1928.912</c:v>
                </c:pt>
                <c:pt idx="3">
                  <c:v>976.99199999999996</c:v>
                </c:pt>
              </c:numCache>
            </c:numRef>
          </c:xVal>
          <c:yVal>
            <c:numRef>
              <c:f>'AI-Main'!$E$167:$E$170</c:f>
              <c:numCache>
                <c:formatCode>0.00_ </c:formatCode>
                <c:ptCount val="4"/>
                <c:pt idx="0">
                  <c:v>48.371009000000001</c:v>
                </c:pt>
                <c:pt idx="1">
                  <c:v>45.059885000000001</c:v>
                </c:pt>
                <c:pt idx="2">
                  <c:v>41.862892000000002</c:v>
                </c:pt>
                <c:pt idx="3">
                  <c:v>38.850690999999998</c:v>
                </c:pt>
              </c:numCache>
            </c:numRef>
          </c:yVal>
          <c:smooth val="1"/>
        </c:ser>
        <c:ser>
          <c:idx val="3"/>
          <c:order val="5"/>
          <c:tx>
            <c:strRef>
              <c:f>'AI-Main'!$B$183:$B$186</c:f>
              <c:strCache>
                <c:ptCount val="4"/>
                <c:pt idx="0">
                  <c:v>NIR,RGB</c:v>
                </c:pt>
                <c:pt idx="2">
                  <c:v>lowdelay</c:v>
                </c:pt>
              </c:strCache>
            </c:strRef>
          </c:tx>
          <c:spPr>
            <a:ln w="25400" cap="flat" cmpd="sng" algn="ctr">
              <a:solidFill>
                <a:schemeClr val="accent2"/>
              </a:solidFill>
              <a:prstDash val="solid"/>
              <a:round/>
            </a:ln>
            <a:effectLst/>
          </c:spPr>
          <c:marker>
            <c:symbol val="plus"/>
            <c:size val="5"/>
            <c:spPr>
              <a:solidFill>
                <a:schemeClr val="accent2"/>
              </a:solidFill>
              <a:ln w="25400" cap="flat" cmpd="sng" algn="ctr">
                <a:solidFill>
                  <a:schemeClr val="accent2"/>
                </a:solidFill>
                <a:prstDash val="solid"/>
              </a:ln>
              <a:effectLst/>
            </c:spPr>
          </c:marker>
          <c:xVal>
            <c:numRef>
              <c:f>'AI-Main'!$D$183:$D$186</c:f>
              <c:numCache>
                <c:formatCode>0.00_ </c:formatCode>
                <c:ptCount val="4"/>
                <c:pt idx="0">
                  <c:v>4209.6719999999996</c:v>
                </c:pt>
                <c:pt idx="1">
                  <c:v>2128.5680000000002</c:v>
                </c:pt>
                <c:pt idx="2">
                  <c:v>938.62400000000002</c:v>
                </c:pt>
                <c:pt idx="3">
                  <c:v>435.488</c:v>
                </c:pt>
              </c:numCache>
            </c:numRef>
          </c:xVal>
          <c:yVal>
            <c:numRef>
              <c:f>'AI-Main'!$E$183:$E$186</c:f>
              <c:numCache>
                <c:formatCode>0.00_ </c:formatCode>
                <c:ptCount val="4"/>
                <c:pt idx="0">
                  <c:v>46.944206000000001</c:v>
                </c:pt>
                <c:pt idx="1">
                  <c:v>43.174976000000001</c:v>
                </c:pt>
                <c:pt idx="2">
                  <c:v>39.684586000000003</c:v>
                </c:pt>
                <c:pt idx="3">
                  <c:v>36.787235000000003</c:v>
                </c:pt>
              </c:numCache>
            </c:numRef>
          </c:yVal>
          <c:smooth val="1"/>
        </c:ser>
        <c:ser>
          <c:idx val="6"/>
          <c:order val="6"/>
          <c:tx>
            <c:strRef>
              <c:f>'AI-Main'!$B$195:$B$198</c:f>
              <c:strCache>
                <c:ptCount val="4"/>
                <c:pt idx="0">
                  <c:v>LED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'AI-Main'!$D$195:$D$198</c:f>
              <c:numCache>
                <c:formatCode>0.00_ </c:formatCode>
                <c:ptCount val="4"/>
                <c:pt idx="0">
                  <c:v>5284.8320000000003</c:v>
                </c:pt>
                <c:pt idx="1">
                  <c:v>3129.904</c:v>
                </c:pt>
                <c:pt idx="2">
                  <c:v>1681.856</c:v>
                </c:pt>
                <c:pt idx="3">
                  <c:v>838.976</c:v>
                </c:pt>
              </c:numCache>
            </c:numRef>
          </c:xVal>
          <c:yVal>
            <c:numRef>
              <c:f>'AI-Main'!$E$195:$E$198</c:f>
              <c:numCache>
                <c:formatCode>0.00_ </c:formatCode>
                <c:ptCount val="4"/>
                <c:pt idx="0">
                  <c:v>46.824384000000002</c:v>
                </c:pt>
                <c:pt idx="1">
                  <c:v>43.212718000000002</c:v>
                </c:pt>
                <c:pt idx="2">
                  <c:v>40.243462999999998</c:v>
                </c:pt>
                <c:pt idx="3">
                  <c:v>37.388643000000002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3674736"/>
        <c:axId val="345952928"/>
      </c:scatterChart>
      <c:valAx>
        <c:axId val="343674736"/>
        <c:scaling>
          <c:orientation val="minMax"/>
          <c:max val="70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ko-KR"/>
                  <a:t>Rate(kbits)</a:t>
                </a:r>
                <a:endParaRPr lang="ko-KR" alt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0_ 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345952928"/>
        <c:crosses val="autoZero"/>
        <c:crossBetween val="midCat"/>
      </c:valAx>
      <c:valAx>
        <c:axId val="345952928"/>
        <c:scaling>
          <c:orientation val="minMax"/>
          <c:min val="3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ko-KR"/>
                  <a:t>Y-PSNR(dB)</a:t>
                </a:r>
                <a:endParaRPr lang="ko-KR" alt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0_ 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3436747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800"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216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Minifan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16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'AI-Main'!$B$211:$B$214</c:f>
              <c:strCache>
                <c:ptCount val="4"/>
                <c:pt idx="0">
                  <c:v>RGB</c:v>
                </c:pt>
                <c:pt idx="1">
                  <c:v>hotmirror</c:v>
                </c:pt>
              </c:strCache>
            </c:strRef>
          </c:tx>
          <c:spPr>
            <a:ln w="41275" cap="flat" cmpd="sng" algn="ctr">
              <a:solidFill>
                <a:schemeClr val="accent6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25400" cap="flat" cmpd="sng" algn="ctr">
                <a:solidFill>
                  <a:schemeClr val="accent6"/>
                </a:solidFill>
                <a:prstDash val="solid"/>
              </a:ln>
              <a:effectLst/>
            </c:spPr>
          </c:marker>
          <c:xVal>
            <c:numRef>
              <c:f>'AI-Main'!$D$211:$D$214</c:f>
              <c:numCache>
                <c:formatCode>0.00_ </c:formatCode>
                <c:ptCount val="4"/>
                <c:pt idx="0">
                  <c:v>165.2</c:v>
                </c:pt>
                <c:pt idx="1">
                  <c:v>50.152000000000001</c:v>
                </c:pt>
                <c:pt idx="2">
                  <c:v>24.175999999999998</c:v>
                </c:pt>
                <c:pt idx="3">
                  <c:v>9.44</c:v>
                </c:pt>
              </c:numCache>
            </c:numRef>
          </c:xVal>
          <c:yVal>
            <c:numRef>
              <c:f>'AI-Main'!$E$211:$E$214</c:f>
              <c:numCache>
                <c:formatCode>0.00_ </c:formatCode>
                <c:ptCount val="4"/>
                <c:pt idx="0">
                  <c:v>52.878514000000003</c:v>
                </c:pt>
                <c:pt idx="1">
                  <c:v>52.380032</c:v>
                </c:pt>
                <c:pt idx="2">
                  <c:v>51.475682999999997</c:v>
                </c:pt>
                <c:pt idx="3">
                  <c:v>49.466875999999999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'AI-Main'!$B$215:$B$218</c:f>
              <c:strCache>
                <c:ptCount val="4"/>
                <c:pt idx="0">
                  <c:v>Mixed</c:v>
                </c:pt>
              </c:strCache>
            </c:strRef>
          </c:tx>
          <c:spPr>
            <a:ln w="25400" cap="flat" cmpd="sng" algn="ctr">
              <a:solidFill>
                <a:schemeClr val="accent1"/>
              </a:solidFill>
              <a:prstDash val="solid"/>
              <a:round/>
            </a:ln>
            <a:effectLst/>
          </c:spPr>
          <c:marker>
            <c:symbol val="diamond"/>
            <c:size val="5"/>
            <c:spPr>
              <a:solidFill>
                <a:schemeClr val="accent1"/>
              </a:solidFill>
              <a:ln w="25400" cap="flat" cmpd="sng" algn="ctr">
                <a:solidFill>
                  <a:schemeClr val="accent1"/>
                </a:solidFill>
                <a:prstDash val="solid"/>
              </a:ln>
              <a:effectLst/>
            </c:spPr>
          </c:marker>
          <c:xVal>
            <c:numRef>
              <c:f>'AI-Main'!$D$215:$D$218</c:f>
              <c:numCache>
                <c:formatCode>0.00_ </c:formatCode>
                <c:ptCount val="4"/>
                <c:pt idx="0">
                  <c:v>1522.3040000000001</c:v>
                </c:pt>
                <c:pt idx="1">
                  <c:v>426.56</c:v>
                </c:pt>
                <c:pt idx="2">
                  <c:v>183.55199999999999</c:v>
                </c:pt>
                <c:pt idx="3">
                  <c:v>100.464</c:v>
                </c:pt>
              </c:numCache>
            </c:numRef>
          </c:xVal>
          <c:yVal>
            <c:numRef>
              <c:f>'AI-Main'!$E$215:$E$218</c:f>
              <c:numCache>
                <c:formatCode>0.00_ </c:formatCode>
                <c:ptCount val="4"/>
                <c:pt idx="0">
                  <c:v>49.677478999999998</c:v>
                </c:pt>
                <c:pt idx="1">
                  <c:v>48.703690000000002</c:v>
                </c:pt>
                <c:pt idx="2">
                  <c:v>47.351928000000001</c:v>
                </c:pt>
                <c:pt idx="3">
                  <c:v>45.435313000000001</c:v>
                </c:pt>
              </c:numCache>
            </c:numRef>
          </c:yVal>
          <c:smooth val="1"/>
        </c:ser>
        <c:ser>
          <c:idx val="4"/>
          <c:order val="2"/>
          <c:tx>
            <c:strRef>
              <c:f>'AI-Main'!$B$231:$B$234</c:f>
              <c:strCache>
                <c:ptCount val="4"/>
                <c:pt idx="0">
                  <c:v>RGB</c:v>
                </c:pt>
                <c:pt idx="1">
                  <c:v>Separated</c:v>
                </c:pt>
              </c:strCache>
            </c:strRef>
          </c:tx>
          <c:spPr>
            <a:ln w="25400" cap="flat" cmpd="sng" algn="ctr">
              <a:solidFill>
                <a:srgbClr val="8064A2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064A2"/>
              </a:solidFill>
              <a:ln w="25400" cap="flat" cmpd="sng" algn="ctr">
                <a:solidFill>
                  <a:srgbClr val="8064A2"/>
                </a:solidFill>
                <a:prstDash val="solid"/>
              </a:ln>
              <a:effectLst/>
            </c:spPr>
          </c:marker>
          <c:xVal>
            <c:numRef>
              <c:f>'AI-Main'!$D$231:$D$234</c:f>
              <c:numCache>
                <c:formatCode>0.00_ </c:formatCode>
                <c:ptCount val="4"/>
                <c:pt idx="0">
                  <c:v>648.67999999999995</c:v>
                </c:pt>
                <c:pt idx="1">
                  <c:v>242.63200000000001</c:v>
                </c:pt>
                <c:pt idx="2">
                  <c:v>87.775999999999996</c:v>
                </c:pt>
                <c:pt idx="3">
                  <c:v>37.384</c:v>
                </c:pt>
              </c:numCache>
            </c:numRef>
          </c:xVal>
          <c:yVal>
            <c:numRef>
              <c:f>'AI-Main'!$E$231:$E$234</c:f>
              <c:numCache>
                <c:formatCode>0.00_ </c:formatCode>
                <c:ptCount val="4"/>
                <c:pt idx="0">
                  <c:v>53.654823999999998</c:v>
                </c:pt>
                <c:pt idx="1">
                  <c:v>52.295887999999998</c:v>
                </c:pt>
                <c:pt idx="2">
                  <c:v>50.718902999999997</c:v>
                </c:pt>
                <c:pt idx="3">
                  <c:v>48.605575999999999</c:v>
                </c:pt>
              </c:numCache>
            </c:numRef>
          </c:yVal>
          <c:smooth val="1"/>
        </c:ser>
        <c:ser>
          <c:idx val="5"/>
          <c:order val="3"/>
          <c:tx>
            <c:strRef>
              <c:f>'AI-Main'!$B$227:$B$230</c:f>
              <c:strCache>
                <c:ptCount val="4"/>
                <c:pt idx="0">
                  <c:v>NIR</c:v>
                </c:pt>
                <c:pt idx="1">
                  <c:v>Separated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4BACC6"/>
              </a:solidFill>
              <a:ln w="9525">
                <a:solidFill>
                  <a:srgbClr val="4BACC6"/>
                </a:solidFill>
              </a:ln>
              <a:effectLst/>
            </c:spPr>
          </c:marker>
          <c:xVal>
            <c:numRef>
              <c:f>'AI-Main'!$D$227:$D$230</c:f>
              <c:numCache>
                <c:formatCode>0.00_ </c:formatCode>
                <c:ptCount val="4"/>
                <c:pt idx="0">
                  <c:v>110.47199999999999</c:v>
                </c:pt>
                <c:pt idx="1">
                  <c:v>66.768000000000001</c:v>
                </c:pt>
                <c:pt idx="2">
                  <c:v>40.368000000000002</c:v>
                </c:pt>
                <c:pt idx="3">
                  <c:v>24.128</c:v>
                </c:pt>
              </c:numCache>
            </c:numRef>
          </c:xVal>
          <c:yVal>
            <c:numRef>
              <c:f>'AI-Main'!$E$227:$E$230</c:f>
              <c:numCache>
                <c:formatCode>0.00_ </c:formatCode>
                <c:ptCount val="4"/>
                <c:pt idx="0">
                  <c:v>54.680326999999998</c:v>
                </c:pt>
                <c:pt idx="1">
                  <c:v>52.875328000000003</c:v>
                </c:pt>
                <c:pt idx="2">
                  <c:v>50.643385000000002</c:v>
                </c:pt>
                <c:pt idx="3">
                  <c:v>48.087591000000003</c:v>
                </c:pt>
              </c:numCache>
            </c:numRef>
          </c:yVal>
          <c:smooth val="1"/>
        </c:ser>
        <c:ser>
          <c:idx val="2"/>
          <c:order val="4"/>
          <c:tx>
            <c:strRef>
              <c:f>'AI-Main'!$B$219:$B$222</c:f>
              <c:strCache>
                <c:ptCount val="4"/>
                <c:pt idx="0">
                  <c:v>NIR,RGB</c:v>
                </c:pt>
                <c:pt idx="2">
                  <c:v>All intra</c:v>
                </c:pt>
              </c:strCache>
            </c:strRef>
          </c:tx>
          <c:spPr>
            <a:ln w="25400" cap="flat" cmpd="sng" algn="ctr">
              <a:solidFill>
                <a:schemeClr val="accent3"/>
              </a:solidFill>
              <a:prstDash val="solid"/>
              <a:round/>
            </a:ln>
            <a:effectLst/>
          </c:spPr>
          <c:marker>
            <c:symbol val="triangle"/>
            <c:size val="5"/>
            <c:spPr>
              <a:solidFill>
                <a:schemeClr val="accent3"/>
              </a:solidFill>
              <a:ln w="25400" cap="flat" cmpd="sng" algn="ctr">
                <a:solidFill>
                  <a:schemeClr val="accent3"/>
                </a:solidFill>
                <a:prstDash val="solid"/>
              </a:ln>
              <a:effectLst/>
            </c:spPr>
          </c:marker>
          <c:xVal>
            <c:numRef>
              <c:f>'AI-Main'!$D$219:$D$222</c:f>
              <c:numCache>
                <c:formatCode>0.00_ </c:formatCode>
                <c:ptCount val="4"/>
                <c:pt idx="0">
                  <c:v>766.86400000000003</c:v>
                </c:pt>
                <c:pt idx="1">
                  <c:v>309.89600000000002</c:v>
                </c:pt>
                <c:pt idx="2">
                  <c:v>128.56</c:v>
                </c:pt>
                <c:pt idx="3">
                  <c:v>61.112000000000002</c:v>
                </c:pt>
              </c:numCache>
            </c:numRef>
          </c:xVal>
          <c:yVal>
            <c:numRef>
              <c:f>'AI-Main'!$E$219:$E$222</c:f>
              <c:numCache>
                <c:formatCode>0.00_ </c:formatCode>
                <c:ptCount val="4"/>
                <c:pt idx="0">
                  <c:v>54.148727999999998</c:v>
                </c:pt>
                <c:pt idx="1">
                  <c:v>52.577952000000003</c:v>
                </c:pt>
                <c:pt idx="2">
                  <c:v>50.675201000000001</c:v>
                </c:pt>
                <c:pt idx="3">
                  <c:v>48.252115000000003</c:v>
                </c:pt>
              </c:numCache>
            </c:numRef>
          </c:yVal>
          <c:smooth val="1"/>
        </c:ser>
        <c:ser>
          <c:idx val="3"/>
          <c:order val="5"/>
          <c:tx>
            <c:strRef>
              <c:f>'AI-Main'!$B$235:$B$238</c:f>
              <c:strCache>
                <c:ptCount val="4"/>
                <c:pt idx="0">
                  <c:v>NIR,RGB</c:v>
                </c:pt>
                <c:pt idx="2">
                  <c:v>lowdelay</c:v>
                </c:pt>
              </c:strCache>
            </c:strRef>
          </c:tx>
          <c:spPr>
            <a:ln w="25400" cap="flat" cmpd="sng" algn="ctr">
              <a:solidFill>
                <a:schemeClr val="accent2"/>
              </a:solidFill>
              <a:prstDash val="solid"/>
              <a:round/>
            </a:ln>
            <a:effectLst/>
          </c:spPr>
          <c:marker>
            <c:symbol val="plus"/>
            <c:size val="5"/>
            <c:spPr>
              <a:solidFill>
                <a:schemeClr val="accent2"/>
              </a:solidFill>
              <a:ln w="25400" cap="flat" cmpd="sng" algn="ctr">
                <a:solidFill>
                  <a:schemeClr val="accent2"/>
                </a:solidFill>
                <a:prstDash val="solid"/>
              </a:ln>
              <a:effectLst/>
            </c:spPr>
          </c:marker>
          <c:xVal>
            <c:numRef>
              <c:f>'AI-Main'!$D$235:$D$238</c:f>
              <c:numCache>
                <c:formatCode>0.00_ </c:formatCode>
                <c:ptCount val="4"/>
                <c:pt idx="0">
                  <c:v>379.69600000000003</c:v>
                </c:pt>
                <c:pt idx="1">
                  <c:v>144.68</c:v>
                </c:pt>
                <c:pt idx="2">
                  <c:v>69.72</c:v>
                </c:pt>
                <c:pt idx="3">
                  <c:v>35.287999999999997</c:v>
                </c:pt>
              </c:numCache>
            </c:numRef>
          </c:xVal>
          <c:yVal>
            <c:numRef>
              <c:f>'AI-Main'!$E$235:$E$238</c:f>
              <c:numCache>
                <c:formatCode>0.00_ </c:formatCode>
                <c:ptCount val="4"/>
                <c:pt idx="0">
                  <c:v>53.563415999999997</c:v>
                </c:pt>
                <c:pt idx="1">
                  <c:v>51.525008</c:v>
                </c:pt>
                <c:pt idx="2">
                  <c:v>49.132314999999998</c:v>
                </c:pt>
                <c:pt idx="3">
                  <c:v>46.317855999999999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5953320"/>
        <c:axId val="345950968"/>
      </c:scatterChart>
      <c:valAx>
        <c:axId val="345953320"/>
        <c:scaling>
          <c:orientation val="minMax"/>
          <c:max val="16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ko-KR"/>
                  <a:t>Rate(kbits)</a:t>
                </a:r>
                <a:endParaRPr lang="ko-KR" alt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0_ 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345950968"/>
        <c:crosses val="autoZero"/>
        <c:crossBetween val="midCat"/>
      </c:valAx>
      <c:valAx>
        <c:axId val="345950968"/>
        <c:scaling>
          <c:orientation val="minMax"/>
          <c:min val="4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ko-KR"/>
                  <a:t>Y-PSNR(dB)</a:t>
                </a:r>
                <a:endParaRPr lang="ko-KR" alt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0_ 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3459533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800"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216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Nohohon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16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'AI-Main'!$B$263:$B$266</c:f>
              <c:strCache>
                <c:ptCount val="4"/>
                <c:pt idx="0">
                  <c:v>RGB</c:v>
                </c:pt>
                <c:pt idx="1">
                  <c:v>hotmirror</c:v>
                </c:pt>
              </c:strCache>
            </c:strRef>
          </c:tx>
          <c:spPr>
            <a:ln w="41275" cap="flat" cmpd="sng" algn="ctr">
              <a:solidFill>
                <a:schemeClr val="accent6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25400" cap="flat" cmpd="sng" algn="ctr">
                <a:solidFill>
                  <a:schemeClr val="accent6"/>
                </a:solidFill>
                <a:prstDash val="solid"/>
              </a:ln>
              <a:effectLst/>
            </c:spPr>
          </c:marker>
          <c:xVal>
            <c:numRef>
              <c:f>'AI-Main'!$D$263:$D$266</c:f>
              <c:numCache>
                <c:formatCode>0.00_ </c:formatCode>
                <c:ptCount val="4"/>
                <c:pt idx="0">
                  <c:v>1006.2</c:v>
                </c:pt>
                <c:pt idx="1">
                  <c:v>339.16</c:v>
                </c:pt>
                <c:pt idx="2">
                  <c:v>144.32</c:v>
                </c:pt>
                <c:pt idx="3">
                  <c:v>75.775999999999996</c:v>
                </c:pt>
              </c:numCache>
            </c:numRef>
          </c:xVal>
          <c:yVal>
            <c:numRef>
              <c:f>'AI-Main'!$E$263:$E$266</c:f>
              <c:numCache>
                <c:formatCode>0.00_ </c:formatCode>
                <c:ptCount val="4"/>
                <c:pt idx="0">
                  <c:v>50.556907000000002</c:v>
                </c:pt>
                <c:pt idx="1">
                  <c:v>49.430301</c:v>
                </c:pt>
                <c:pt idx="2">
                  <c:v>47.914067000000003</c:v>
                </c:pt>
                <c:pt idx="3">
                  <c:v>46.056108999999999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'AI-Main'!$B$267:$B$270</c:f>
              <c:strCache>
                <c:ptCount val="4"/>
                <c:pt idx="0">
                  <c:v>Mixed</c:v>
                </c:pt>
              </c:strCache>
            </c:strRef>
          </c:tx>
          <c:spPr>
            <a:ln w="25400" cap="flat" cmpd="sng" algn="ctr">
              <a:solidFill>
                <a:schemeClr val="accent1"/>
              </a:solidFill>
              <a:prstDash val="solid"/>
              <a:round/>
            </a:ln>
            <a:effectLst/>
          </c:spPr>
          <c:marker>
            <c:symbol val="diamond"/>
            <c:size val="5"/>
            <c:spPr>
              <a:solidFill>
                <a:schemeClr val="accent1"/>
              </a:solidFill>
              <a:ln w="25400" cap="flat" cmpd="sng" algn="ctr">
                <a:solidFill>
                  <a:schemeClr val="accent1"/>
                </a:solidFill>
                <a:prstDash val="solid"/>
              </a:ln>
              <a:effectLst/>
            </c:spPr>
          </c:marker>
          <c:xVal>
            <c:numRef>
              <c:f>'AI-Main'!$D$267:$D$270</c:f>
              <c:numCache>
                <c:formatCode>0.00_ </c:formatCode>
                <c:ptCount val="4"/>
                <c:pt idx="0">
                  <c:v>2027.4159999999999</c:v>
                </c:pt>
                <c:pt idx="1">
                  <c:v>744.55200000000002</c:v>
                </c:pt>
                <c:pt idx="2">
                  <c:v>336.2</c:v>
                </c:pt>
                <c:pt idx="3">
                  <c:v>177.91200000000001</c:v>
                </c:pt>
              </c:numCache>
            </c:numRef>
          </c:xVal>
          <c:yVal>
            <c:numRef>
              <c:f>'AI-Main'!$E$267:$E$270</c:f>
              <c:numCache>
                <c:formatCode>0.00_ </c:formatCode>
                <c:ptCount val="4"/>
                <c:pt idx="0">
                  <c:v>49.009619999999998</c:v>
                </c:pt>
                <c:pt idx="1">
                  <c:v>47.544929000000003</c:v>
                </c:pt>
                <c:pt idx="2">
                  <c:v>45.739868999999999</c:v>
                </c:pt>
                <c:pt idx="3">
                  <c:v>43.571178000000003</c:v>
                </c:pt>
              </c:numCache>
            </c:numRef>
          </c:yVal>
          <c:smooth val="1"/>
        </c:ser>
        <c:ser>
          <c:idx val="4"/>
          <c:order val="2"/>
          <c:tx>
            <c:strRef>
              <c:f>'AI-Main'!$B$283:$B$286</c:f>
              <c:strCache>
                <c:ptCount val="4"/>
                <c:pt idx="0">
                  <c:v>RGB</c:v>
                </c:pt>
                <c:pt idx="1">
                  <c:v>Separated</c:v>
                </c:pt>
              </c:strCache>
            </c:strRef>
          </c:tx>
          <c:spPr>
            <a:ln w="25400" cap="flat" cmpd="sng" algn="ctr">
              <a:solidFill>
                <a:srgbClr val="8064A2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064A2"/>
              </a:solidFill>
              <a:ln w="25400" cap="flat" cmpd="sng" algn="ctr">
                <a:solidFill>
                  <a:srgbClr val="8064A2"/>
                </a:solidFill>
                <a:prstDash val="solid"/>
              </a:ln>
              <a:effectLst/>
            </c:spPr>
          </c:marker>
          <c:xVal>
            <c:numRef>
              <c:f>'AI-Main'!$D$283:$D$286</c:f>
              <c:numCache>
                <c:formatCode>0.00_ </c:formatCode>
                <c:ptCount val="4"/>
                <c:pt idx="0">
                  <c:v>936.024</c:v>
                </c:pt>
                <c:pt idx="1">
                  <c:v>465.50400000000002</c:v>
                </c:pt>
                <c:pt idx="2">
                  <c:v>227.08799999999999</c:v>
                </c:pt>
                <c:pt idx="3">
                  <c:v>115.36</c:v>
                </c:pt>
              </c:numCache>
            </c:numRef>
          </c:xVal>
          <c:yVal>
            <c:numRef>
              <c:f>'AI-Main'!$E$283:$E$286</c:f>
              <c:numCache>
                <c:formatCode>0.00_ </c:formatCode>
                <c:ptCount val="4"/>
                <c:pt idx="0">
                  <c:v>53.057102</c:v>
                </c:pt>
                <c:pt idx="1">
                  <c:v>51.059640000000002</c:v>
                </c:pt>
                <c:pt idx="2">
                  <c:v>48.849460000000001</c:v>
                </c:pt>
                <c:pt idx="3">
                  <c:v>46.375095999999999</c:v>
                </c:pt>
              </c:numCache>
            </c:numRef>
          </c:yVal>
          <c:smooth val="1"/>
        </c:ser>
        <c:ser>
          <c:idx val="5"/>
          <c:order val="3"/>
          <c:tx>
            <c:strRef>
              <c:f>'AI-Main'!$B$279:$B$282</c:f>
              <c:strCache>
                <c:ptCount val="4"/>
                <c:pt idx="0">
                  <c:v>NIR</c:v>
                </c:pt>
                <c:pt idx="1">
                  <c:v>Separated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4BACC6"/>
              </a:solidFill>
              <a:ln w="9525">
                <a:solidFill>
                  <a:srgbClr val="4BACC6"/>
                </a:solidFill>
              </a:ln>
              <a:effectLst/>
            </c:spPr>
          </c:marker>
          <c:xVal>
            <c:numRef>
              <c:f>'AI-Main'!$D$279:$D$282</c:f>
              <c:numCache>
                <c:formatCode>0.00_ </c:formatCode>
                <c:ptCount val="4"/>
                <c:pt idx="0">
                  <c:v>124.288</c:v>
                </c:pt>
                <c:pt idx="1">
                  <c:v>70.352000000000004</c:v>
                </c:pt>
                <c:pt idx="2">
                  <c:v>39.92</c:v>
                </c:pt>
                <c:pt idx="3">
                  <c:v>21.056000000000001</c:v>
                </c:pt>
              </c:numCache>
            </c:numRef>
          </c:xVal>
          <c:yVal>
            <c:numRef>
              <c:f>'AI-Main'!$E$279:$E$282</c:f>
              <c:numCache>
                <c:formatCode>0.00_ </c:formatCode>
                <c:ptCount val="4"/>
                <c:pt idx="0">
                  <c:v>54.738422999999997</c:v>
                </c:pt>
                <c:pt idx="1">
                  <c:v>52.757730000000002</c:v>
                </c:pt>
                <c:pt idx="2">
                  <c:v>50.468888</c:v>
                </c:pt>
                <c:pt idx="3">
                  <c:v>47.692222000000001</c:v>
                </c:pt>
              </c:numCache>
            </c:numRef>
          </c:yVal>
          <c:smooth val="1"/>
        </c:ser>
        <c:ser>
          <c:idx val="2"/>
          <c:order val="4"/>
          <c:tx>
            <c:strRef>
              <c:f>'AI-Main'!$B$271:$B$274</c:f>
              <c:strCache>
                <c:ptCount val="4"/>
                <c:pt idx="0">
                  <c:v>NIR,RGB</c:v>
                </c:pt>
                <c:pt idx="2">
                  <c:v>All intra</c:v>
                </c:pt>
              </c:strCache>
            </c:strRef>
          </c:tx>
          <c:spPr>
            <a:ln w="25400" cap="flat" cmpd="sng" algn="ctr">
              <a:solidFill>
                <a:schemeClr val="accent3"/>
              </a:solidFill>
              <a:prstDash val="solid"/>
              <a:round/>
            </a:ln>
            <a:effectLst/>
          </c:spPr>
          <c:marker>
            <c:symbol val="triangle"/>
            <c:size val="5"/>
            <c:spPr>
              <a:solidFill>
                <a:schemeClr val="accent3"/>
              </a:solidFill>
              <a:ln w="25400" cap="flat" cmpd="sng" algn="ctr">
                <a:solidFill>
                  <a:schemeClr val="accent3"/>
                </a:solidFill>
                <a:prstDash val="solid"/>
              </a:ln>
              <a:effectLst/>
            </c:spPr>
          </c:marker>
          <c:xVal>
            <c:numRef>
              <c:f>'AI-Main'!$D$271:$D$274</c:f>
              <c:numCache>
                <c:formatCode>0.00_ </c:formatCode>
                <c:ptCount val="4"/>
                <c:pt idx="0">
                  <c:v>1064.376</c:v>
                </c:pt>
                <c:pt idx="1">
                  <c:v>535.83199999999999</c:v>
                </c:pt>
                <c:pt idx="2">
                  <c:v>266.82400000000001</c:v>
                </c:pt>
                <c:pt idx="3">
                  <c:v>136.26400000000001</c:v>
                </c:pt>
              </c:numCache>
            </c:numRef>
          </c:xVal>
          <c:yVal>
            <c:numRef>
              <c:f>'AI-Main'!$E$271:$E$274</c:f>
              <c:numCache>
                <c:formatCode>0.00_ </c:formatCode>
                <c:ptCount val="4"/>
                <c:pt idx="0">
                  <c:v>53.876565999999997</c:v>
                </c:pt>
                <c:pt idx="1">
                  <c:v>51.899394999999998</c:v>
                </c:pt>
                <c:pt idx="2">
                  <c:v>49.645023000000002</c:v>
                </c:pt>
                <c:pt idx="3">
                  <c:v>47.04515</c:v>
                </c:pt>
              </c:numCache>
            </c:numRef>
          </c:yVal>
          <c:smooth val="1"/>
        </c:ser>
        <c:ser>
          <c:idx val="3"/>
          <c:order val="5"/>
          <c:tx>
            <c:strRef>
              <c:f>'AI-Main'!$B$287:$B$290</c:f>
              <c:strCache>
                <c:ptCount val="4"/>
                <c:pt idx="0">
                  <c:v>NIR,RGB</c:v>
                </c:pt>
                <c:pt idx="2">
                  <c:v>lowdelay</c:v>
                </c:pt>
              </c:strCache>
            </c:strRef>
          </c:tx>
          <c:spPr>
            <a:ln w="25400" cap="flat" cmpd="sng" algn="ctr">
              <a:solidFill>
                <a:schemeClr val="accent2"/>
              </a:solidFill>
              <a:prstDash val="solid"/>
              <a:round/>
            </a:ln>
            <a:effectLst/>
          </c:spPr>
          <c:marker>
            <c:symbol val="plus"/>
            <c:size val="5"/>
            <c:spPr>
              <a:solidFill>
                <a:schemeClr val="accent2"/>
              </a:solidFill>
              <a:ln w="25400" cap="flat" cmpd="sng" algn="ctr">
                <a:solidFill>
                  <a:schemeClr val="accent2"/>
                </a:solidFill>
                <a:prstDash val="solid"/>
              </a:ln>
              <a:effectLst/>
            </c:spPr>
          </c:marker>
          <c:xVal>
            <c:numRef>
              <c:f>'AI-Main'!$D$287:$D$290</c:f>
              <c:numCache>
                <c:formatCode>0.00_ </c:formatCode>
                <c:ptCount val="4"/>
                <c:pt idx="0">
                  <c:v>625.37599999999998</c:v>
                </c:pt>
                <c:pt idx="1">
                  <c:v>276.56</c:v>
                </c:pt>
                <c:pt idx="2">
                  <c:v>134.68799999999999</c:v>
                </c:pt>
                <c:pt idx="3">
                  <c:v>73.152000000000001</c:v>
                </c:pt>
              </c:numCache>
            </c:numRef>
          </c:xVal>
          <c:yVal>
            <c:numRef>
              <c:f>'AI-Main'!$E$287:$E$290</c:f>
              <c:numCache>
                <c:formatCode>0.00_ </c:formatCode>
                <c:ptCount val="4"/>
                <c:pt idx="0">
                  <c:v>53.040993999999998</c:v>
                </c:pt>
                <c:pt idx="1">
                  <c:v>50.647246000000003</c:v>
                </c:pt>
                <c:pt idx="2">
                  <c:v>47.804155000000002</c:v>
                </c:pt>
                <c:pt idx="3">
                  <c:v>44.799111000000003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5950184"/>
        <c:axId val="345954888"/>
      </c:scatterChart>
      <c:valAx>
        <c:axId val="345950184"/>
        <c:scaling>
          <c:orientation val="minMax"/>
          <c:max val="22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ko-KR"/>
                  <a:t>Rate(kbits)</a:t>
                </a:r>
                <a:endParaRPr lang="ko-KR" alt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0_ 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345954888"/>
        <c:crosses val="autoZero"/>
        <c:crossBetween val="midCat"/>
      </c:valAx>
      <c:valAx>
        <c:axId val="345954888"/>
        <c:scaling>
          <c:orientation val="minMax"/>
          <c:min val="4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ko-KR"/>
                  <a:t>Y-PSNR(dB)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0_ 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3459501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800"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216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Things2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16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'AI-Main'!$B$315:$B$318</c:f>
              <c:strCache>
                <c:ptCount val="4"/>
                <c:pt idx="0">
                  <c:v>RGB</c:v>
                </c:pt>
                <c:pt idx="1">
                  <c:v>hotmirror</c:v>
                </c:pt>
              </c:strCache>
            </c:strRef>
          </c:tx>
          <c:spPr>
            <a:ln w="41275" cap="flat" cmpd="sng" algn="ctr">
              <a:solidFill>
                <a:schemeClr val="accent6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25400" cap="flat" cmpd="sng" algn="ctr">
                <a:solidFill>
                  <a:schemeClr val="accent6"/>
                </a:solidFill>
                <a:prstDash val="solid"/>
              </a:ln>
              <a:effectLst/>
            </c:spPr>
          </c:marker>
          <c:xVal>
            <c:numRef>
              <c:f>'AI-Main'!$D$315:$D$318</c:f>
              <c:numCache>
                <c:formatCode>0.00_ </c:formatCode>
                <c:ptCount val="4"/>
                <c:pt idx="0">
                  <c:v>909.23199999999997</c:v>
                </c:pt>
                <c:pt idx="1">
                  <c:v>174.096</c:v>
                </c:pt>
                <c:pt idx="2">
                  <c:v>78.335999999999999</c:v>
                </c:pt>
                <c:pt idx="3">
                  <c:v>37.488</c:v>
                </c:pt>
              </c:numCache>
            </c:numRef>
          </c:xVal>
          <c:yVal>
            <c:numRef>
              <c:f>'AI-Main'!$E$315:$E$318</c:f>
              <c:numCache>
                <c:formatCode>0.00_ </c:formatCode>
                <c:ptCount val="4"/>
                <c:pt idx="0">
                  <c:v>50.303555000000003</c:v>
                </c:pt>
                <c:pt idx="1">
                  <c:v>49.669199999999996</c:v>
                </c:pt>
                <c:pt idx="2">
                  <c:v>48.676561</c:v>
                </c:pt>
                <c:pt idx="3">
                  <c:v>47.097807000000003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'AI-Main'!$B$319:$B$322</c:f>
              <c:strCache>
                <c:ptCount val="4"/>
                <c:pt idx="0">
                  <c:v>Mixed</c:v>
                </c:pt>
              </c:strCache>
            </c:strRef>
          </c:tx>
          <c:spPr>
            <a:ln w="25400" cap="flat" cmpd="sng" algn="ctr">
              <a:solidFill>
                <a:schemeClr val="accent1"/>
              </a:solidFill>
              <a:prstDash val="solid"/>
              <a:round/>
            </a:ln>
            <a:effectLst/>
          </c:spPr>
          <c:marker>
            <c:symbol val="diamond"/>
            <c:size val="5"/>
            <c:spPr>
              <a:solidFill>
                <a:schemeClr val="accent1"/>
              </a:solidFill>
              <a:ln w="25400" cap="flat" cmpd="sng" algn="ctr">
                <a:solidFill>
                  <a:schemeClr val="accent1"/>
                </a:solidFill>
                <a:prstDash val="solid"/>
              </a:ln>
              <a:effectLst/>
            </c:spPr>
          </c:marker>
          <c:xVal>
            <c:numRef>
              <c:f>'AI-Main'!$D$319:$D$322</c:f>
              <c:numCache>
                <c:formatCode>0.00_ </c:formatCode>
                <c:ptCount val="4"/>
                <c:pt idx="0">
                  <c:v>5995.5280000000002</c:v>
                </c:pt>
                <c:pt idx="1">
                  <c:v>2499.7759999999998</c:v>
                </c:pt>
                <c:pt idx="2">
                  <c:v>804.30399999999997</c:v>
                </c:pt>
                <c:pt idx="3">
                  <c:v>240.06399999999999</c:v>
                </c:pt>
              </c:numCache>
            </c:numRef>
          </c:xVal>
          <c:yVal>
            <c:numRef>
              <c:f>'AI-Main'!$E$319:$E$322</c:f>
              <c:numCache>
                <c:formatCode>0.00_ </c:formatCode>
                <c:ptCount val="4"/>
                <c:pt idx="0">
                  <c:v>45.42024</c:v>
                </c:pt>
                <c:pt idx="1">
                  <c:v>42.968857</c:v>
                </c:pt>
                <c:pt idx="2">
                  <c:v>41.476410000000001</c:v>
                </c:pt>
                <c:pt idx="3">
                  <c:v>40.344273000000001</c:v>
                </c:pt>
              </c:numCache>
            </c:numRef>
          </c:yVal>
          <c:smooth val="1"/>
        </c:ser>
        <c:ser>
          <c:idx val="4"/>
          <c:order val="2"/>
          <c:tx>
            <c:strRef>
              <c:f>'AI-Main'!$B$335:$B$338</c:f>
              <c:strCache>
                <c:ptCount val="4"/>
                <c:pt idx="0">
                  <c:v>RGB</c:v>
                </c:pt>
                <c:pt idx="1">
                  <c:v>Separated</c:v>
                </c:pt>
              </c:strCache>
            </c:strRef>
          </c:tx>
          <c:spPr>
            <a:ln w="25400" cap="flat" cmpd="sng" algn="ctr">
              <a:solidFill>
                <a:srgbClr val="8064A2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064A2"/>
              </a:solidFill>
              <a:ln w="25400" cap="flat" cmpd="sng" algn="ctr">
                <a:solidFill>
                  <a:srgbClr val="8064A2"/>
                </a:solidFill>
                <a:prstDash val="solid"/>
              </a:ln>
              <a:effectLst/>
            </c:spPr>
          </c:marker>
          <c:xVal>
            <c:numRef>
              <c:f>'AI-Main'!$D$335:$D$338</c:f>
              <c:numCache>
                <c:formatCode>0.00_ </c:formatCode>
                <c:ptCount val="4"/>
                <c:pt idx="0">
                  <c:v>4518.8159999999998</c:v>
                </c:pt>
                <c:pt idx="1">
                  <c:v>2522.3919999999998</c:v>
                </c:pt>
                <c:pt idx="2">
                  <c:v>1222.5360000000001</c:v>
                </c:pt>
                <c:pt idx="3">
                  <c:v>489.14400000000001</c:v>
                </c:pt>
              </c:numCache>
            </c:numRef>
          </c:xVal>
          <c:yVal>
            <c:numRef>
              <c:f>'AI-Main'!$E$335:$E$338</c:f>
              <c:numCache>
                <c:formatCode>0.00_ </c:formatCode>
                <c:ptCount val="4"/>
                <c:pt idx="0">
                  <c:v>49.493803999999997</c:v>
                </c:pt>
                <c:pt idx="1">
                  <c:v>46.915388</c:v>
                </c:pt>
                <c:pt idx="2">
                  <c:v>44.762734000000002</c:v>
                </c:pt>
                <c:pt idx="3">
                  <c:v>43.104354000000001</c:v>
                </c:pt>
              </c:numCache>
            </c:numRef>
          </c:yVal>
          <c:smooth val="1"/>
        </c:ser>
        <c:ser>
          <c:idx val="5"/>
          <c:order val="3"/>
          <c:tx>
            <c:strRef>
              <c:f>'AI-Main'!$B$331:$B$334</c:f>
              <c:strCache>
                <c:ptCount val="4"/>
                <c:pt idx="0">
                  <c:v>NIR</c:v>
                </c:pt>
                <c:pt idx="1">
                  <c:v>Separated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4BACC6"/>
              </a:solidFill>
              <a:ln w="9525">
                <a:solidFill>
                  <a:srgbClr val="4BACC6"/>
                </a:solidFill>
              </a:ln>
              <a:effectLst/>
            </c:spPr>
          </c:marker>
          <c:xVal>
            <c:numRef>
              <c:f>'AI-Main'!$D$331:$D$334</c:f>
              <c:numCache>
                <c:formatCode>0.00_ </c:formatCode>
                <c:ptCount val="4"/>
                <c:pt idx="0">
                  <c:v>349.56799999999998</c:v>
                </c:pt>
                <c:pt idx="1">
                  <c:v>167.27199999999999</c:v>
                </c:pt>
                <c:pt idx="2">
                  <c:v>84.367999999999995</c:v>
                </c:pt>
                <c:pt idx="3">
                  <c:v>46.904000000000003</c:v>
                </c:pt>
              </c:numCache>
            </c:numRef>
          </c:xVal>
          <c:yVal>
            <c:numRef>
              <c:f>'AI-Main'!$E$331:$E$334</c:f>
              <c:numCache>
                <c:formatCode>0.00_ </c:formatCode>
                <c:ptCount val="4"/>
                <c:pt idx="0">
                  <c:v>50.591808</c:v>
                </c:pt>
                <c:pt idx="1">
                  <c:v>48.201481999999999</c:v>
                </c:pt>
                <c:pt idx="2">
                  <c:v>46.142518000000003</c:v>
                </c:pt>
                <c:pt idx="3">
                  <c:v>44.129438999999998</c:v>
                </c:pt>
              </c:numCache>
            </c:numRef>
          </c:yVal>
          <c:smooth val="1"/>
        </c:ser>
        <c:ser>
          <c:idx val="2"/>
          <c:order val="4"/>
          <c:tx>
            <c:strRef>
              <c:f>'AI-Main'!$B$323:$B$326</c:f>
              <c:strCache>
                <c:ptCount val="4"/>
                <c:pt idx="0">
                  <c:v>NIR,RGB</c:v>
                </c:pt>
                <c:pt idx="2">
                  <c:v>All intra</c:v>
                </c:pt>
              </c:strCache>
            </c:strRef>
          </c:tx>
          <c:spPr>
            <a:ln w="25400" cap="flat" cmpd="sng" algn="ctr">
              <a:solidFill>
                <a:schemeClr val="accent3"/>
              </a:solidFill>
              <a:prstDash val="solid"/>
              <a:round/>
            </a:ln>
            <a:effectLst/>
          </c:spPr>
          <c:marker>
            <c:symbol val="triangle"/>
            <c:size val="5"/>
            <c:spPr>
              <a:solidFill>
                <a:schemeClr val="accent3"/>
              </a:solidFill>
              <a:ln w="25400" cap="flat" cmpd="sng" algn="ctr">
                <a:solidFill>
                  <a:schemeClr val="accent3"/>
                </a:solidFill>
                <a:prstDash val="solid"/>
              </a:ln>
              <a:effectLst/>
            </c:spPr>
          </c:marker>
          <c:xVal>
            <c:numRef>
              <c:f>'AI-Main'!$D$323:$D$326</c:f>
              <c:numCache>
                <c:formatCode>0.00_ </c:formatCode>
                <c:ptCount val="4"/>
                <c:pt idx="0">
                  <c:v>4876.24</c:v>
                </c:pt>
                <c:pt idx="1">
                  <c:v>2696.4960000000001</c:v>
                </c:pt>
                <c:pt idx="2">
                  <c:v>1312.32</c:v>
                </c:pt>
                <c:pt idx="3">
                  <c:v>536.79999999999995</c:v>
                </c:pt>
              </c:numCache>
            </c:numRef>
          </c:xVal>
          <c:yVal>
            <c:numRef>
              <c:f>'AI-Main'!$E$323:$E$326</c:f>
              <c:numCache>
                <c:formatCode>0.00_ </c:formatCode>
                <c:ptCount val="4"/>
                <c:pt idx="0">
                  <c:v>50.026252999999997</c:v>
                </c:pt>
                <c:pt idx="1">
                  <c:v>47.538088000000002</c:v>
                </c:pt>
                <c:pt idx="2">
                  <c:v>45.425581000000001</c:v>
                </c:pt>
                <c:pt idx="3">
                  <c:v>43.631379000000003</c:v>
                </c:pt>
              </c:numCache>
            </c:numRef>
          </c:yVal>
          <c:smooth val="1"/>
        </c:ser>
        <c:ser>
          <c:idx val="3"/>
          <c:order val="5"/>
          <c:tx>
            <c:strRef>
              <c:f>'AI-Main'!$B$339:$B$342</c:f>
              <c:strCache>
                <c:ptCount val="4"/>
                <c:pt idx="0">
                  <c:v>NIR,RGB</c:v>
                </c:pt>
                <c:pt idx="2">
                  <c:v>lowdelay</c:v>
                </c:pt>
              </c:strCache>
            </c:strRef>
          </c:tx>
          <c:spPr>
            <a:ln w="25400" cap="flat" cmpd="sng" algn="ctr">
              <a:solidFill>
                <a:schemeClr val="accent2"/>
              </a:solidFill>
              <a:prstDash val="solid"/>
              <a:round/>
            </a:ln>
            <a:effectLst/>
          </c:spPr>
          <c:marker>
            <c:symbol val="plus"/>
            <c:size val="5"/>
            <c:spPr>
              <a:solidFill>
                <a:schemeClr val="accent2"/>
              </a:solidFill>
              <a:ln w="25400" cap="flat" cmpd="sng" algn="ctr">
                <a:solidFill>
                  <a:schemeClr val="accent2"/>
                </a:solidFill>
                <a:prstDash val="solid"/>
              </a:ln>
              <a:effectLst/>
            </c:spPr>
          </c:marker>
          <c:xVal>
            <c:numRef>
              <c:f>'AI-Main'!$D$339:$D$342</c:f>
              <c:numCache>
                <c:formatCode>0.00_ </c:formatCode>
                <c:ptCount val="4"/>
                <c:pt idx="0">
                  <c:v>3163.6080000000002</c:v>
                </c:pt>
                <c:pt idx="1">
                  <c:v>1326.8</c:v>
                </c:pt>
                <c:pt idx="2">
                  <c:v>428.84</c:v>
                </c:pt>
                <c:pt idx="3">
                  <c:v>134.352</c:v>
                </c:pt>
              </c:numCache>
            </c:numRef>
          </c:xVal>
          <c:yVal>
            <c:numRef>
              <c:f>'AI-Main'!$E$339:$E$342</c:f>
              <c:numCache>
                <c:formatCode>0.00_ </c:formatCode>
                <c:ptCount val="4"/>
                <c:pt idx="0">
                  <c:v>48.891050999999997</c:v>
                </c:pt>
                <c:pt idx="1">
                  <c:v>46.269486999999998</c:v>
                </c:pt>
                <c:pt idx="2">
                  <c:v>44.243827000000003</c:v>
                </c:pt>
                <c:pt idx="3">
                  <c:v>42.311585999999998</c:v>
                </c:pt>
              </c:numCache>
            </c:numRef>
          </c:yVal>
          <c:smooth val="1"/>
        </c:ser>
        <c:ser>
          <c:idx val="6"/>
          <c:order val="6"/>
          <c:tx>
            <c:strRef>
              <c:f>'AI-Main'!$B$351:$B$354</c:f>
              <c:strCache>
                <c:ptCount val="4"/>
                <c:pt idx="0">
                  <c:v>LED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'AI-Main'!$D$351:$D$354</c:f>
              <c:numCache>
                <c:formatCode>0.00_ </c:formatCode>
                <c:ptCount val="4"/>
                <c:pt idx="0">
                  <c:v>5822.4880000000003</c:v>
                </c:pt>
                <c:pt idx="1">
                  <c:v>3040.2559999999999</c:v>
                </c:pt>
                <c:pt idx="2">
                  <c:v>1326.2639999999999</c:v>
                </c:pt>
                <c:pt idx="3">
                  <c:v>552.904</c:v>
                </c:pt>
              </c:numCache>
            </c:numRef>
          </c:xVal>
          <c:yVal>
            <c:numRef>
              <c:f>'AI-Main'!$E$351:$E$354</c:f>
              <c:numCache>
                <c:formatCode>0.00_ </c:formatCode>
                <c:ptCount val="4"/>
                <c:pt idx="0">
                  <c:v>46.646127</c:v>
                </c:pt>
                <c:pt idx="1">
                  <c:v>43.580159000000002</c:v>
                </c:pt>
                <c:pt idx="2">
                  <c:v>41.405808</c:v>
                </c:pt>
                <c:pt idx="3">
                  <c:v>39.395501000000003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5952536"/>
        <c:axId val="345948616"/>
      </c:scatterChart>
      <c:valAx>
        <c:axId val="345952536"/>
        <c:scaling>
          <c:orientation val="minMax"/>
          <c:max val="62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ko-KR"/>
                  <a:t>Rate(kbits)</a:t>
                </a:r>
                <a:endParaRPr lang="ko-KR" alt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0_ 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345948616"/>
        <c:crosses val="autoZero"/>
        <c:crossBetween val="midCat"/>
      </c:valAx>
      <c:valAx>
        <c:axId val="345948616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ko-KR"/>
                  <a:t>Y-PSNR(dB)</a:t>
                </a:r>
                <a:endParaRPr lang="ko-KR" alt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0_ 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3459525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800"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216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Things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16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'AI-Main'!$B$367:$B$370</c:f>
              <c:strCache>
                <c:ptCount val="4"/>
                <c:pt idx="0">
                  <c:v>RGB</c:v>
                </c:pt>
                <c:pt idx="1">
                  <c:v>hotmirror</c:v>
                </c:pt>
              </c:strCache>
            </c:strRef>
          </c:tx>
          <c:spPr>
            <a:ln w="41275" cap="flat" cmpd="sng" algn="ctr">
              <a:solidFill>
                <a:schemeClr val="accent6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25400" cap="flat" cmpd="sng" algn="ctr">
                <a:solidFill>
                  <a:schemeClr val="accent6"/>
                </a:solidFill>
                <a:prstDash val="solid"/>
              </a:ln>
              <a:effectLst/>
            </c:spPr>
          </c:marker>
          <c:xVal>
            <c:numRef>
              <c:f>'AI-Main'!$D$367:$D$370</c:f>
              <c:numCache>
                <c:formatCode>0.00_ </c:formatCode>
                <c:ptCount val="4"/>
                <c:pt idx="0">
                  <c:v>124.136</c:v>
                </c:pt>
                <c:pt idx="1">
                  <c:v>29.64</c:v>
                </c:pt>
                <c:pt idx="2">
                  <c:v>14.016</c:v>
                </c:pt>
                <c:pt idx="3">
                  <c:v>7.4640000000000004</c:v>
                </c:pt>
              </c:numCache>
            </c:numRef>
          </c:xVal>
          <c:yVal>
            <c:numRef>
              <c:f>'AI-Main'!$E$367:$E$370</c:f>
              <c:numCache>
                <c:formatCode>0.00_ </c:formatCode>
                <c:ptCount val="4"/>
                <c:pt idx="0">
                  <c:v>53.011448000000001</c:v>
                </c:pt>
                <c:pt idx="1">
                  <c:v>52.757835999999998</c:v>
                </c:pt>
                <c:pt idx="2">
                  <c:v>52.071424</c:v>
                </c:pt>
                <c:pt idx="3">
                  <c:v>50.882187999999999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'AI-Main'!$B$371:$B$374</c:f>
              <c:strCache>
                <c:ptCount val="4"/>
                <c:pt idx="0">
                  <c:v>Mixed</c:v>
                </c:pt>
              </c:strCache>
            </c:strRef>
          </c:tx>
          <c:spPr>
            <a:ln w="25400" cap="flat" cmpd="sng" algn="ctr">
              <a:solidFill>
                <a:schemeClr val="accent1"/>
              </a:solidFill>
              <a:prstDash val="solid"/>
              <a:round/>
            </a:ln>
            <a:effectLst/>
          </c:spPr>
          <c:marker>
            <c:symbol val="diamond"/>
            <c:size val="5"/>
            <c:spPr>
              <a:solidFill>
                <a:schemeClr val="accent1"/>
              </a:solidFill>
              <a:ln w="25400" cap="flat" cmpd="sng" algn="ctr">
                <a:solidFill>
                  <a:schemeClr val="accent1"/>
                </a:solidFill>
                <a:prstDash val="solid"/>
              </a:ln>
              <a:effectLst/>
            </c:spPr>
          </c:marker>
          <c:xVal>
            <c:numRef>
              <c:f>'AI-Main'!$D$371:$D$374</c:f>
              <c:numCache>
                <c:formatCode>0.00_ </c:formatCode>
                <c:ptCount val="4"/>
                <c:pt idx="0">
                  <c:v>1392.9280000000001</c:v>
                </c:pt>
                <c:pt idx="1">
                  <c:v>252.36</c:v>
                </c:pt>
                <c:pt idx="2">
                  <c:v>82.456000000000003</c:v>
                </c:pt>
                <c:pt idx="3">
                  <c:v>42.415999999999997</c:v>
                </c:pt>
              </c:numCache>
            </c:numRef>
          </c:xVal>
          <c:yVal>
            <c:numRef>
              <c:f>'AI-Main'!$E$371:$E$374</c:f>
              <c:numCache>
                <c:formatCode>0.00_ </c:formatCode>
                <c:ptCount val="4"/>
                <c:pt idx="0">
                  <c:v>49.553266999999998</c:v>
                </c:pt>
                <c:pt idx="1">
                  <c:v>49.037650999999997</c:v>
                </c:pt>
                <c:pt idx="2">
                  <c:v>48.284514999999999</c:v>
                </c:pt>
                <c:pt idx="3">
                  <c:v>47.144368</c:v>
                </c:pt>
              </c:numCache>
            </c:numRef>
          </c:yVal>
          <c:smooth val="1"/>
        </c:ser>
        <c:ser>
          <c:idx val="4"/>
          <c:order val="2"/>
          <c:tx>
            <c:strRef>
              <c:f>'AI-Main'!$B$387:$B$390</c:f>
              <c:strCache>
                <c:ptCount val="4"/>
                <c:pt idx="0">
                  <c:v>RGB</c:v>
                </c:pt>
                <c:pt idx="1">
                  <c:v>Separated</c:v>
                </c:pt>
              </c:strCache>
            </c:strRef>
          </c:tx>
          <c:spPr>
            <a:ln w="25400" cap="flat" cmpd="sng" algn="ctr">
              <a:solidFill>
                <a:srgbClr val="8064A2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064A2"/>
              </a:solidFill>
              <a:ln w="25400" cap="flat" cmpd="sng" algn="ctr">
                <a:solidFill>
                  <a:srgbClr val="8064A2"/>
                </a:solidFill>
                <a:prstDash val="solid"/>
              </a:ln>
              <a:effectLst/>
            </c:spPr>
          </c:marker>
          <c:xVal>
            <c:numRef>
              <c:f>'AI-Main'!$D$387:$D$390</c:f>
              <c:numCache>
                <c:formatCode>0.00_ </c:formatCode>
                <c:ptCount val="4"/>
                <c:pt idx="0">
                  <c:v>858.52</c:v>
                </c:pt>
                <c:pt idx="1">
                  <c:v>302.28800000000001</c:v>
                </c:pt>
                <c:pt idx="2">
                  <c:v>82.712000000000003</c:v>
                </c:pt>
                <c:pt idx="3">
                  <c:v>21.576000000000001</c:v>
                </c:pt>
              </c:numCache>
            </c:numRef>
          </c:xVal>
          <c:yVal>
            <c:numRef>
              <c:f>'AI-Main'!$E$387:$E$390</c:f>
              <c:numCache>
                <c:formatCode>0.00_ </c:formatCode>
                <c:ptCount val="4"/>
                <c:pt idx="0">
                  <c:v>53.381819</c:v>
                </c:pt>
                <c:pt idx="1">
                  <c:v>52.451644999999999</c:v>
                </c:pt>
                <c:pt idx="2">
                  <c:v>51.620797000000003</c:v>
                </c:pt>
                <c:pt idx="3">
                  <c:v>50.135679000000003</c:v>
                </c:pt>
              </c:numCache>
            </c:numRef>
          </c:yVal>
          <c:smooth val="1"/>
        </c:ser>
        <c:ser>
          <c:idx val="5"/>
          <c:order val="3"/>
          <c:tx>
            <c:strRef>
              <c:f>'AI-Main'!$B$383:$B$386</c:f>
              <c:strCache>
                <c:ptCount val="4"/>
                <c:pt idx="0">
                  <c:v>NIR</c:v>
                </c:pt>
                <c:pt idx="1">
                  <c:v>Separated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4BACC6"/>
              </a:solidFill>
              <a:ln w="9525">
                <a:solidFill>
                  <a:srgbClr val="4BACC6"/>
                </a:solidFill>
              </a:ln>
              <a:effectLst/>
            </c:spPr>
          </c:marker>
          <c:xVal>
            <c:numRef>
              <c:f>'AI-Main'!$D$383:$D$386</c:f>
              <c:numCache>
                <c:formatCode>0.00_ </c:formatCode>
                <c:ptCount val="4"/>
                <c:pt idx="0">
                  <c:v>51.552</c:v>
                </c:pt>
                <c:pt idx="1">
                  <c:v>27.888000000000002</c:v>
                </c:pt>
                <c:pt idx="2">
                  <c:v>16.704000000000001</c:v>
                </c:pt>
                <c:pt idx="3">
                  <c:v>10.192</c:v>
                </c:pt>
              </c:numCache>
            </c:numRef>
          </c:xVal>
          <c:yVal>
            <c:numRef>
              <c:f>'AI-Main'!$E$383:$E$386</c:f>
              <c:numCache>
                <c:formatCode>0.00_ </c:formatCode>
                <c:ptCount val="4"/>
                <c:pt idx="0">
                  <c:v>55.102919</c:v>
                </c:pt>
                <c:pt idx="1">
                  <c:v>54.042684999999999</c:v>
                </c:pt>
                <c:pt idx="2">
                  <c:v>52.628385000000002</c:v>
                </c:pt>
                <c:pt idx="3">
                  <c:v>50.575383000000002</c:v>
                </c:pt>
              </c:numCache>
            </c:numRef>
          </c:yVal>
          <c:smooth val="1"/>
        </c:ser>
        <c:ser>
          <c:idx val="2"/>
          <c:order val="4"/>
          <c:tx>
            <c:strRef>
              <c:f>'AI-Main'!$B$375:$B$378</c:f>
              <c:strCache>
                <c:ptCount val="4"/>
                <c:pt idx="0">
                  <c:v>NIR,RGB</c:v>
                </c:pt>
                <c:pt idx="2">
                  <c:v>All intra</c:v>
                </c:pt>
              </c:strCache>
            </c:strRef>
          </c:tx>
          <c:spPr>
            <a:ln w="25400" cap="flat" cmpd="sng" algn="ctr">
              <a:solidFill>
                <a:schemeClr val="accent3"/>
              </a:solidFill>
              <a:prstDash val="solid"/>
              <a:round/>
            </a:ln>
            <a:effectLst/>
          </c:spPr>
          <c:marker>
            <c:symbol val="triangle"/>
            <c:size val="5"/>
            <c:spPr>
              <a:solidFill>
                <a:schemeClr val="accent3"/>
              </a:solidFill>
              <a:ln w="25400" cap="flat" cmpd="sng" algn="ctr">
                <a:solidFill>
                  <a:schemeClr val="accent3"/>
                </a:solidFill>
                <a:prstDash val="solid"/>
              </a:ln>
              <a:effectLst/>
            </c:spPr>
          </c:marker>
          <c:xVal>
            <c:numRef>
              <c:f>'AI-Main'!$D$375:$D$378</c:f>
              <c:numCache>
                <c:formatCode>0.00_ </c:formatCode>
                <c:ptCount val="4"/>
                <c:pt idx="0">
                  <c:v>913.23199999999997</c:v>
                </c:pt>
                <c:pt idx="1">
                  <c:v>333.19200000000001</c:v>
                </c:pt>
                <c:pt idx="2">
                  <c:v>101.752</c:v>
                </c:pt>
                <c:pt idx="3">
                  <c:v>31.408000000000001</c:v>
                </c:pt>
              </c:numCache>
            </c:numRef>
          </c:xVal>
          <c:yVal>
            <c:numRef>
              <c:f>'AI-Main'!$E$375:$E$378</c:f>
              <c:numCache>
                <c:formatCode>0.00_ </c:formatCode>
                <c:ptCount val="4"/>
                <c:pt idx="0">
                  <c:v>54.250163999999998</c:v>
                </c:pt>
                <c:pt idx="1">
                  <c:v>53.229443000000003</c:v>
                </c:pt>
                <c:pt idx="2">
                  <c:v>52.114117</c:v>
                </c:pt>
                <c:pt idx="3">
                  <c:v>50.351269000000002</c:v>
                </c:pt>
              </c:numCache>
            </c:numRef>
          </c:yVal>
          <c:smooth val="1"/>
        </c:ser>
        <c:ser>
          <c:idx val="3"/>
          <c:order val="5"/>
          <c:tx>
            <c:strRef>
              <c:f>'AI-Main'!$B$391:$B$394</c:f>
              <c:strCache>
                <c:ptCount val="4"/>
                <c:pt idx="0">
                  <c:v>NIR,RGB</c:v>
                </c:pt>
                <c:pt idx="2">
                  <c:v>lowdelay</c:v>
                </c:pt>
              </c:strCache>
            </c:strRef>
          </c:tx>
          <c:spPr>
            <a:ln w="25400" cap="flat" cmpd="sng" algn="ctr">
              <a:solidFill>
                <a:schemeClr val="accent2"/>
              </a:solidFill>
              <a:prstDash val="solid"/>
              <a:round/>
            </a:ln>
            <a:effectLst/>
          </c:spPr>
          <c:marker>
            <c:symbol val="plus"/>
            <c:size val="5"/>
            <c:spPr>
              <a:solidFill>
                <a:schemeClr val="accent2"/>
              </a:solidFill>
              <a:ln w="25400" cap="flat" cmpd="sng" algn="ctr">
                <a:solidFill>
                  <a:schemeClr val="accent2"/>
                </a:solidFill>
                <a:prstDash val="solid"/>
              </a:ln>
              <a:effectLst/>
            </c:spPr>
          </c:marker>
          <c:xVal>
            <c:numRef>
              <c:f>'AI-Main'!$D$391:$D$394</c:f>
              <c:numCache>
                <c:formatCode>0.00_ </c:formatCode>
                <c:ptCount val="4"/>
                <c:pt idx="0">
                  <c:v>385.98399999999998</c:v>
                </c:pt>
                <c:pt idx="1">
                  <c:v>89.567999999999998</c:v>
                </c:pt>
                <c:pt idx="2">
                  <c:v>33.567999999999998</c:v>
                </c:pt>
                <c:pt idx="3">
                  <c:v>18.911999999999999</c:v>
                </c:pt>
              </c:numCache>
            </c:numRef>
          </c:xVal>
          <c:yVal>
            <c:numRef>
              <c:f>'AI-Main'!$E$391:$E$394</c:f>
              <c:numCache>
                <c:formatCode>0.00_ </c:formatCode>
                <c:ptCount val="4"/>
                <c:pt idx="0">
                  <c:v>53.840947999999997</c:v>
                </c:pt>
                <c:pt idx="1">
                  <c:v>52.671824000000001</c:v>
                </c:pt>
                <c:pt idx="2">
                  <c:v>50.795102</c:v>
                </c:pt>
                <c:pt idx="3">
                  <c:v>47.934306999999997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5953712"/>
        <c:axId val="345949792"/>
      </c:scatterChart>
      <c:valAx>
        <c:axId val="345953712"/>
        <c:scaling>
          <c:orientation val="minMax"/>
          <c:max val="15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ko-KR"/>
                  <a:t>Rate(kbits)</a:t>
                </a:r>
                <a:endParaRPr lang="ko-KR" alt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0_ 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345949792"/>
        <c:crosses val="autoZero"/>
        <c:crossBetween val="midCat"/>
      </c:valAx>
      <c:valAx>
        <c:axId val="345949792"/>
        <c:scaling>
          <c:orientation val="minMax"/>
          <c:max val="58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ko-KR"/>
                  <a:t>Y-PSNR(dB)</a:t>
                </a:r>
                <a:endParaRPr lang="ko-KR" alt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0_ 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3459537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800"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216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Treename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16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'AI-Main'!$B$419:$B$422</c:f>
              <c:strCache>
                <c:ptCount val="4"/>
                <c:pt idx="0">
                  <c:v>RGB</c:v>
                </c:pt>
                <c:pt idx="1">
                  <c:v>hotmirror</c:v>
                </c:pt>
              </c:strCache>
            </c:strRef>
          </c:tx>
          <c:spPr>
            <a:ln w="41275" cap="flat" cmpd="sng" algn="ctr">
              <a:solidFill>
                <a:schemeClr val="accent6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25400" cap="flat" cmpd="sng" algn="ctr">
                <a:solidFill>
                  <a:schemeClr val="accent6"/>
                </a:solidFill>
                <a:prstDash val="solid"/>
              </a:ln>
              <a:effectLst/>
            </c:spPr>
          </c:marker>
          <c:xVal>
            <c:numRef>
              <c:f>'AI-Main'!$D$419:$D$422</c:f>
              <c:numCache>
                <c:formatCode>0.00_ </c:formatCode>
                <c:ptCount val="4"/>
                <c:pt idx="0">
                  <c:v>715.48800000000006</c:v>
                </c:pt>
                <c:pt idx="1">
                  <c:v>211.70400000000001</c:v>
                </c:pt>
                <c:pt idx="2">
                  <c:v>66.16</c:v>
                </c:pt>
                <c:pt idx="3">
                  <c:v>26.864000000000001</c:v>
                </c:pt>
              </c:numCache>
            </c:numRef>
          </c:xVal>
          <c:yVal>
            <c:numRef>
              <c:f>'AI-Main'!$E$419:$E$422</c:f>
              <c:numCache>
                <c:formatCode>0.00_ </c:formatCode>
                <c:ptCount val="4"/>
                <c:pt idx="0">
                  <c:v>51.074809999999999</c:v>
                </c:pt>
                <c:pt idx="1">
                  <c:v>50.20093</c:v>
                </c:pt>
                <c:pt idx="2">
                  <c:v>49.127049999999997</c:v>
                </c:pt>
                <c:pt idx="3">
                  <c:v>47.561250999999999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'AI-Main'!$B$423:$B$426</c:f>
              <c:strCache>
                <c:ptCount val="4"/>
                <c:pt idx="0">
                  <c:v>Mixed</c:v>
                </c:pt>
              </c:strCache>
            </c:strRef>
          </c:tx>
          <c:spPr>
            <a:ln w="25400" cap="flat" cmpd="sng" algn="ctr">
              <a:solidFill>
                <a:schemeClr val="accent1"/>
              </a:solidFill>
              <a:prstDash val="solid"/>
              <a:round/>
            </a:ln>
            <a:effectLst/>
          </c:spPr>
          <c:marker>
            <c:symbol val="diamond"/>
            <c:size val="5"/>
            <c:spPr>
              <a:solidFill>
                <a:schemeClr val="accent1"/>
              </a:solidFill>
              <a:ln w="25400" cap="flat" cmpd="sng" algn="ctr">
                <a:solidFill>
                  <a:schemeClr val="accent1"/>
                </a:solidFill>
                <a:prstDash val="solid"/>
              </a:ln>
              <a:effectLst/>
            </c:spPr>
          </c:marker>
          <c:xVal>
            <c:numRef>
              <c:f>'AI-Main'!$D$423:$D$426</c:f>
              <c:numCache>
                <c:formatCode>0.00_ </c:formatCode>
                <c:ptCount val="4"/>
                <c:pt idx="0">
                  <c:v>6154.6639999999998</c:v>
                </c:pt>
                <c:pt idx="1">
                  <c:v>2833.0720000000001</c:v>
                </c:pt>
                <c:pt idx="2">
                  <c:v>1287.0640000000001</c:v>
                </c:pt>
                <c:pt idx="3">
                  <c:v>673.65599999999995</c:v>
                </c:pt>
              </c:numCache>
            </c:numRef>
          </c:xVal>
          <c:yVal>
            <c:numRef>
              <c:f>'AI-Main'!$E$423:$E$426</c:f>
              <c:numCache>
                <c:formatCode>0.00_ </c:formatCode>
                <c:ptCount val="4"/>
                <c:pt idx="0">
                  <c:v>45.794902</c:v>
                </c:pt>
                <c:pt idx="1">
                  <c:v>43.443103999999998</c:v>
                </c:pt>
                <c:pt idx="2">
                  <c:v>41.126474000000002</c:v>
                </c:pt>
                <c:pt idx="3">
                  <c:v>38.767052</c:v>
                </c:pt>
              </c:numCache>
            </c:numRef>
          </c:yVal>
          <c:smooth val="1"/>
        </c:ser>
        <c:ser>
          <c:idx val="4"/>
          <c:order val="2"/>
          <c:tx>
            <c:strRef>
              <c:f>'AI-Main'!$B$439:$B$442</c:f>
              <c:strCache>
                <c:ptCount val="4"/>
                <c:pt idx="0">
                  <c:v>RGB</c:v>
                </c:pt>
                <c:pt idx="1">
                  <c:v>Separated</c:v>
                </c:pt>
              </c:strCache>
            </c:strRef>
          </c:tx>
          <c:spPr>
            <a:ln w="25400" cap="flat" cmpd="sng" algn="ctr">
              <a:solidFill>
                <a:srgbClr val="8064A2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064A2"/>
              </a:solidFill>
              <a:ln w="25400" cap="flat" cmpd="sng" algn="ctr">
                <a:solidFill>
                  <a:srgbClr val="8064A2"/>
                </a:solidFill>
                <a:prstDash val="solid"/>
              </a:ln>
              <a:effectLst/>
            </c:spPr>
          </c:marker>
          <c:xVal>
            <c:numRef>
              <c:f>'AI-Main'!$D$439:$D$442</c:f>
              <c:numCache>
                <c:formatCode>0.00_ </c:formatCode>
                <c:ptCount val="4"/>
                <c:pt idx="0">
                  <c:v>4736.7920000000004</c:v>
                </c:pt>
                <c:pt idx="1">
                  <c:v>2853.6080000000002</c:v>
                </c:pt>
                <c:pt idx="2">
                  <c:v>1501.3520000000001</c:v>
                </c:pt>
                <c:pt idx="3">
                  <c:v>662.28</c:v>
                </c:pt>
              </c:numCache>
            </c:numRef>
          </c:xVal>
          <c:yVal>
            <c:numRef>
              <c:f>'AI-Main'!$E$439:$E$442</c:f>
              <c:numCache>
                <c:formatCode>0.00_ </c:formatCode>
                <c:ptCount val="4"/>
                <c:pt idx="0">
                  <c:v>48.734516999999997</c:v>
                </c:pt>
                <c:pt idx="1">
                  <c:v>45.418595000000003</c:v>
                </c:pt>
                <c:pt idx="2">
                  <c:v>42.515009999999997</c:v>
                </c:pt>
                <c:pt idx="3">
                  <c:v>40.213627000000002</c:v>
                </c:pt>
              </c:numCache>
            </c:numRef>
          </c:yVal>
          <c:smooth val="1"/>
        </c:ser>
        <c:ser>
          <c:idx val="5"/>
          <c:order val="3"/>
          <c:tx>
            <c:strRef>
              <c:f>'AI-Main'!$B$435:$B$438</c:f>
              <c:strCache>
                <c:ptCount val="4"/>
                <c:pt idx="0">
                  <c:v>NIR</c:v>
                </c:pt>
                <c:pt idx="1">
                  <c:v>Separated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4BACC6"/>
              </a:solidFill>
              <a:ln w="9525">
                <a:solidFill>
                  <a:srgbClr val="4BACC6"/>
                </a:solidFill>
              </a:ln>
              <a:effectLst/>
            </c:spPr>
          </c:marker>
          <c:xVal>
            <c:numRef>
              <c:f>'AI-Main'!$D$435:$D$438</c:f>
              <c:numCache>
                <c:formatCode>0.00_ </c:formatCode>
                <c:ptCount val="4"/>
                <c:pt idx="0">
                  <c:v>737.72</c:v>
                </c:pt>
                <c:pt idx="1">
                  <c:v>447.26400000000001</c:v>
                </c:pt>
                <c:pt idx="2">
                  <c:v>269.80799999999999</c:v>
                </c:pt>
                <c:pt idx="3">
                  <c:v>163.88</c:v>
                </c:pt>
              </c:numCache>
            </c:numRef>
          </c:xVal>
          <c:yVal>
            <c:numRef>
              <c:f>'AI-Main'!$E$435:$E$438</c:f>
              <c:numCache>
                <c:formatCode>0.00_ </c:formatCode>
                <c:ptCount val="4"/>
                <c:pt idx="0">
                  <c:v>49.840760000000003</c:v>
                </c:pt>
                <c:pt idx="1">
                  <c:v>46.780611</c:v>
                </c:pt>
                <c:pt idx="2">
                  <c:v>43.804400000000001</c:v>
                </c:pt>
                <c:pt idx="3">
                  <c:v>40.883954000000003</c:v>
                </c:pt>
              </c:numCache>
            </c:numRef>
          </c:yVal>
          <c:smooth val="1"/>
        </c:ser>
        <c:ser>
          <c:idx val="2"/>
          <c:order val="4"/>
          <c:tx>
            <c:strRef>
              <c:f>'AI-Main'!$B$427:$B$430</c:f>
              <c:strCache>
                <c:ptCount val="4"/>
                <c:pt idx="0">
                  <c:v>NIR,RGB</c:v>
                </c:pt>
                <c:pt idx="2">
                  <c:v>All intra</c:v>
                </c:pt>
              </c:strCache>
            </c:strRef>
          </c:tx>
          <c:spPr>
            <a:ln w="25400" cap="flat" cmpd="sng" algn="ctr">
              <a:solidFill>
                <a:schemeClr val="accent3"/>
              </a:solidFill>
              <a:prstDash val="solid"/>
              <a:round/>
            </a:ln>
            <a:effectLst/>
          </c:spPr>
          <c:marker>
            <c:symbol val="triangle"/>
            <c:size val="5"/>
            <c:spPr>
              <a:solidFill>
                <a:schemeClr val="accent3"/>
              </a:solidFill>
              <a:ln w="25400" cap="flat" cmpd="sng" algn="ctr">
                <a:solidFill>
                  <a:schemeClr val="accent3"/>
                </a:solidFill>
                <a:prstDash val="solid"/>
              </a:ln>
              <a:effectLst/>
            </c:spPr>
          </c:marker>
          <c:xVal>
            <c:numRef>
              <c:f>'AI-Main'!$D$427:$D$430</c:f>
              <c:numCache>
                <c:formatCode>0.00_ </c:formatCode>
                <c:ptCount val="4"/>
                <c:pt idx="0">
                  <c:v>5492.7839999999997</c:v>
                </c:pt>
                <c:pt idx="1">
                  <c:v>3302.28</c:v>
                </c:pt>
                <c:pt idx="2">
                  <c:v>1772.4559999999999</c:v>
                </c:pt>
                <c:pt idx="3">
                  <c:v>827.71199999999999</c:v>
                </c:pt>
              </c:numCache>
            </c:numRef>
          </c:xVal>
          <c:yVal>
            <c:numRef>
              <c:f>'AI-Main'!$E$427:$E$430</c:f>
              <c:numCache>
                <c:formatCode>0.00_ </c:formatCode>
                <c:ptCount val="4"/>
                <c:pt idx="0">
                  <c:v>49.257697</c:v>
                </c:pt>
                <c:pt idx="1">
                  <c:v>46.078688999999997</c:v>
                </c:pt>
                <c:pt idx="2">
                  <c:v>43.150292999999998</c:v>
                </c:pt>
                <c:pt idx="3">
                  <c:v>40.549759000000002</c:v>
                </c:pt>
              </c:numCache>
            </c:numRef>
          </c:yVal>
          <c:smooth val="1"/>
        </c:ser>
        <c:ser>
          <c:idx val="3"/>
          <c:order val="5"/>
          <c:tx>
            <c:strRef>
              <c:f>'AI-Main'!$B$443:$B$446</c:f>
              <c:strCache>
                <c:ptCount val="4"/>
                <c:pt idx="0">
                  <c:v>NIR,RGB</c:v>
                </c:pt>
                <c:pt idx="2">
                  <c:v>lowdelay</c:v>
                </c:pt>
              </c:strCache>
            </c:strRef>
          </c:tx>
          <c:spPr>
            <a:ln w="25400" cap="flat" cmpd="sng" algn="ctr">
              <a:solidFill>
                <a:schemeClr val="accent2"/>
              </a:solidFill>
              <a:prstDash val="solid"/>
              <a:round/>
            </a:ln>
            <a:effectLst/>
          </c:spPr>
          <c:marker>
            <c:symbol val="plus"/>
            <c:size val="5"/>
            <c:spPr>
              <a:solidFill>
                <a:schemeClr val="accent2"/>
              </a:solidFill>
              <a:ln w="25400" cap="flat" cmpd="sng" algn="ctr">
                <a:solidFill>
                  <a:schemeClr val="accent2"/>
                </a:solidFill>
                <a:prstDash val="solid"/>
              </a:ln>
              <a:effectLst/>
            </c:spPr>
          </c:marker>
          <c:xVal>
            <c:numRef>
              <c:f>'AI-Main'!$D$443:$D$446</c:f>
              <c:numCache>
                <c:formatCode>0.00_ </c:formatCode>
                <c:ptCount val="4"/>
                <c:pt idx="0">
                  <c:v>3917.3760000000002</c:v>
                </c:pt>
                <c:pt idx="1">
                  <c:v>1901.96</c:v>
                </c:pt>
                <c:pt idx="2">
                  <c:v>744.43200000000002</c:v>
                </c:pt>
                <c:pt idx="3">
                  <c:v>292.54399999999998</c:v>
                </c:pt>
              </c:numCache>
            </c:numRef>
          </c:xVal>
          <c:yVal>
            <c:numRef>
              <c:f>'AI-Main'!$E$443:$E$446</c:f>
              <c:numCache>
                <c:formatCode>0.00_ </c:formatCode>
                <c:ptCount val="4"/>
                <c:pt idx="0">
                  <c:v>47.823506000000002</c:v>
                </c:pt>
                <c:pt idx="1">
                  <c:v>44.445188000000002</c:v>
                </c:pt>
                <c:pt idx="2">
                  <c:v>41.545271999999997</c:v>
                </c:pt>
                <c:pt idx="3">
                  <c:v>38.936836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5955672"/>
        <c:axId val="345955280"/>
      </c:scatterChart>
      <c:valAx>
        <c:axId val="345955672"/>
        <c:scaling>
          <c:orientation val="minMax"/>
          <c:max val="65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ko-KR"/>
                  <a:t>Rate(kbits)</a:t>
                </a:r>
                <a:endParaRPr lang="ko-KR" alt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0_ 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345955280"/>
        <c:crosses val="autoZero"/>
        <c:crossBetween val="midCat"/>
      </c:valAx>
      <c:valAx>
        <c:axId val="345955280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ko-KR"/>
                  <a:t>Y-PSNR(dB)</a:t>
                </a:r>
                <a:endParaRPr lang="ko-KR" alt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0_ 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34595567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800"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2.xml"/><Relationship Id="rId3" Type="http://schemas.openxmlformats.org/officeDocument/2006/relationships/chart" Target="../charts/chart7.xml"/><Relationship Id="rId7" Type="http://schemas.openxmlformats.org/officeDocument/2006/relationships/chart" Target="../charts/chart11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6" Type="http://schemas.openxmlformats.org/officeDocument/2006/relationships/chart" Target="../charts/chart10.xml"/><Relationship Id="rId5" Type="http://schemas.openxmlformats.org/officeDocument/2006/relationships/chart" Target="../charts/chart9.xml"/><Relationship Id="rId4" Type="http://schemas.openxmlformats.org/officeDocument/2006/relationships/chart" Target="../charts/chart8.xml"/><Relationship Id="rId9" Type="http://schemas.openxmlformats.org/officeDocument/2006/relationships/chart" Target="../charts/chart1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</xdr:row>
      <xdr:rowOff>19050</xdr:rowOff>
    </xdr:from>
    <xdr:to>
      <xdr:col>10</xdr:col>
      <xdr:colOff>0</xdr:colOff>
      <xdr:row>28</xdr:row>
      <xdr:rowOff>114300</xdr:rowOff>
    </xdr:to>
    <xdr:graphicFrame macro="">
      <xdr:nvGraphicFramePr>
        <xdr:cNvPr id="3154828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114300</xdr:colOff>
      <xdr:row>3</xdr:row>
      <xdr:rowOff>19050</xdr:rowOff>
    </xdr:from>
    <xdr:to>
      <xdr:col>21</xdr:col>
      <xdr:colOff>409575</xdr:colOff>
      <xdr:row>28</xdr:row>
      <xdr:rowOff>133350</xdr:rowOff>
    </xdr:to>
    <xdr:graphicFrame macro="">
      <xdr:nvGraphicFramePr>
        <xdr:cNvPr id="3154829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114300</xdr:colOff>
      <xdr:row>29</xdr:row>
      <xdr:rowOff>0</xdr:rowOff>
    </xdr:from>
    <xdr:to>
      <xdr:col>21</xdr:col>
      <xdr:colOff>409575</xdr:colOff>
      <xdr:row>54</xdr:row>
      <xdr:rowOff>114300</xdr:rowOff>
    </xdr:to>
    <xdr:graphicFrame macro="">
      <xdr:nvGraphicFramePr>
        <xdr:cNvPr id="3154830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29</xdr:row>
      <xdr:rowOff>0</xdr:rowOff>
    </xdr:from>
    <xdr:to>
      <xdr:col>10</xdr:col>
      <xdr:colOff>9525</xdr:colOff>
      <xdr:row>54</xdr:row>
      <xdr:rowOff>114300</xdr:rowOff>
    </xdr:to>
    <xdr:graphicFrame macro="">
      <xdr:nvGraphicFramePr>
        <xdr:cNvPr id="3154831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0.25254</cdr:x>
      <cdr:y>0.06331</cdr:y>
    </cdr:from>
    <cdr:to>
      <cdr:x>0.7731</cdr:x>
      <cdr:y>0.10716</cdr:y>
    </cdr:to>
    <cdr:sp macro="" textlink="Plot!$AD$8">
      <cdr:nvSpPr>
        <cdr:cNvPr id="542721" name="Text Box 4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998815" y="388938"/>
          <a:ext cx="3956787" cy="2059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ffectLst xmlns:a="http://schemas.openxmlformats.org/drawingml/2006/main"/>
        <a:extLst xmlns:a="http://schemas.openxmlformats.org/drawingml/2006/main">
          <a:ext uri="{909E8E84-426E-40dd-AFC4-6F175D3DCCD1}"/>
          <a:ext uri="{91240B29-F687-4f45-9708-019B960494DF}"/>
          <a:ext uri="{AF507438-7753-43e0-B8FC-AC1667EBCBE1}"/>
        </a:extLst>
      </cdr:spPr>
      <cdr:txBody>
        <a:bodyPr xmlns:a="http://schemas.openxmlformats.org/drawingml/2006/main" vertOverflow="clip" wrap="square" lIns="27432" tIns="22860" rIns="27432" bIns="22860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fld id="{D83A1EA8-ACB2-494D-9000-D03D49CEE280}" type="TxLink">
            <a:rPr lang="en-US" sz="1200" b="1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Sequence: Nebuta     Coding Conditions: RA-Main</a:t>
          </a:fld>
          <a:endParaRPr lang="en-US" sz="1200" b="1" i="0" u="none" strike="noStrike" baseline="0">
            <a:solidFill>
              <a:srgbClr val="000000"/>
            </a:solidFill>
            <a:latin typeface="Calibri"/>
            <a:ea typeface="Calibri"/>
            <a:cs typeface="Calibri"/>
          </a:endParaRPr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0.24911</cdr:x>
      <cdr:y>0.05862</cdr:y>
    </cdr:from>
    <cdr:to>
      <cdr:x>0.76372</cdr:x>
      <cdr:y>0.09683</cdr:y>
    </cdr:to>
    <cdr:sp macro="" textlink="Plot!$AD$8">
      <cdr:nvSpPr>
        <cdr:cNvPr id="54374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965230" y="363576"/>
          <a:ext cx="3916051" cy="20294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ffectLst xmlns:a="http://schemas.openxmlformats.org/drawingml/2006/main"/>
        <a:extLst xmlns:a="http://schemas.openxmlformats.org/drawingml/2006/main">
          <a:ext uri="{909E8E84-426E-40dd-AFC4-6F175D3DCCD1}"/>
          <a:ext uri="{91240B29-F687-4f45-9708-019B960494DF}"/>
          <a:ext uri="{AF507438-7753-43e0-B8FC-AC1667EBCBE1}"/>
        </a:extLst>
      </cdr:spPr>
      <cdr:txBody>
        <a:bodyPr xmlns:a="http://schemas.openxmlformats.org/drawingml/2006/main" vertOverflow="clip" wrap="square" lIns="27432" tIns="22860" rIns="27432" bIns="22860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fld id="{19E6E365-CFA4-CC4C-A7E1-57BCA9832836}" type="TxLink">
            <a:rPr lang="en-US" sz="1200" b="1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Sequence: Nebuta     Coding Conditions: RA-Main</a:t>
          </a:fld>
          <a:endParaRPr lang="en-US" sz="1200" b="1" i="0" u="none" strike="noStrike" baseline="0">
            <a:solidFill>
              <a:srgbClr val="000000"/>
            </a:solidFill>
            <a:latin typeface="Calibri"/>
            <a:ea typeface="Calibri"/>
            <a:cs typeface="Calibri"/>
          </a:endParaRPr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0.25182</cdr:x>
      <cdr:y>0.06009</cdr:y>
    </cdr:from>
    <cdr:to>
      <cdr:x>0.76939</cdr:x>
      <cdr:y>0.10075</cdr:y>
    </cdr:to>
    <cdr:sp macro="" textlink="Plot!$AD$8">
      <cdr:nvSpPr>
        <cdr:cNvPr id="544769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967125" y="370738"/>
          <a:ext cx="3938797" cy="21130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ffectLst xmlns:a="http://schemas.openxmlformats.org/drawingml/2006/main"/>
        <a:extLst xmlns:a="http://schemas.openxmlformats.org/drawingml/2006/main">
          <a:ext uri="{909E8E84-426E-40dd-AFC4-6F175D3DCCD1}"/>
          <a:ext uri="{91240B29-F687-4f45-9708-019B960494DF}"/>
          <a:ext uri="{AF507438-7753-43e0-B8FC-AC1667EBCBE1}"/>
        </a:extLst>
      </cdr:spPr>
      <cdr:txBody>
        <a:bodyPr xmlns:a="http://schemas.openxmlformats.org/drawingml/2006/main" vertOverflow="clip" wrap="square" lIns="27432" tIns="22860" rIns="27432" bIns="22860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fld id="{C78FC3BF-74FA-5F47-A170-DBE980647D6A}" type="TxLink">
            <a:rPr lang="en-US" sz="1200" b="1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Sequence: Nebuta     Coding Conditions: RA-Main</a:t>
          </a:fld>
          <a:endParaRPr lang="en-US" sz="1200" b="1" i="0" u="none" strike="noStrike" baseline="0">
            <a:solidFill>
              <a:srgbClr val="000000"/>
            </a:solidFill>
            <a:latin typeface="Calibri"/>
            <a:ea typeface="Calibri"/>
            <a:cs typeface="Calibri"/>
          </a:endParaRPr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0.24933</cdr:x>
      <cdr:y>0.06573</cdr:y>
    </cdr:from>
    <cdr:to>
      <cdr:x>0.75781</cdr:x>
      <cdr:y>0.11128</cdr:y>
    </cdr:to>
    <cdr:sp macro="" textlink="Plot!$AD$8">
      <cdr:nvSpPr>
        <cdr:cNvPr id="545793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971643" y="404165"/>
          <a:ext cx="3862607" cy="211302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ffectLst xmlns:a="http://schemas.openxmlformats.org/drawingml/2006/main"/>
        <a:extLst xmlns:a="http://schemas.openxmlformats.org/drawingml/2006/main">
          <a:ext uri="{909E8E84-426E-40dd-AFC4-6F175D3DCCD1}"/>
          <a:ext uri="{91240B29-F687-4f45-9708-019B960494DF}"/>
          <a:ext uri="{AF507438-7753-43e0-B8FC-AC1667EBCBE1}"/>
        </a:extLst>
      </cdr:spPr>
      <cdr:txBody>
        <a:bodyPr xmlns:a="http://schemas.openxmlformats.org/drawingml/2006/main" vertOverflow="clip" wrap="square" lIns="27432" tIns="22860" rIns="27432" bIns="22860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fld id="{BCA0EC84-F97B-3C4C-9330-102EEBE0B20D}" type="TxLink">
            <a:rPr lang="en-US" sz="1200" b="1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Sequence: Nebuta     Coding Conditions: RA-Main</a:t>
          </a:fld>
          <a:endParaRPr lang="en-US" sz="1200" b="1" i="0" u="none" strike="noStrike" baseline="0">
            <a:solidFill>
              <a:srgbClr val="000000"/>
            </a:solidFill>
            <a:latin typeface="Calibri"/>
            <a:ea typeface="Calibri"/>
            <a:cs typeface="Calibri"/>
          </a:endParaRPr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908988</xdr:colOff>
      <xdr:row>1</xdr:row>
      <xdr:rowOff>135082</xdr:rowOff>
    </xdr:from>
    <xdr:to>
      <xdr:col>32</xdr:col>
      <xdr:colOff>181624</xdr:colOff>
      <xdr:row>28</xdr:row>
      <xdr:rowOff>7793</xdr:rowOff>
    </xdr:to>
    <xdr:graphicFrame macro="">
      <xdr:nvGraphicFramePr>
        <xdr:cNvPr id="4" name="차트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32</xdr:col>
      <xdr:colOff>632059</xdr:colOff>
      <xdr:row>1</xdr:row>
      <xdr:rowOff>130319</xdr:rowOff>
    </xdr:from>
    <xdr:to>
      <xdr:col>38</xdr:col>
      <xdr:colOff>822559</xdr:colOff>
      <xdr:row>28</xdr:row>
      <xdr:rowOff>12556</xdr:rowOff>
    </xdr:to>
    <xdr:graphicFrame macro="">
      <xdr:nvGraphicFramePr>
        <xdr:cNvPr id="5" name="차트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39</xdr:col>
      <xdr:colOff>216478</xdr:colOff>
      <xdr:row>1</xdr:row>
      <xdr:rowOff>147637</xdr:rowOff>
    </xdr:from>
    <xdr:to>
      <xdr:col>45</xdr:col>
      <xdr:colOff>406978</xdr:colOff>
      <xdr:row>28</xdr:row>
      <xdr:rowOff>29874</xdr:rowOff>
    </xdr:to>
    <xdr:graphicFrame macro="">
      <xdr:nvGraphicFramePr>
        <xdr:cNvPr id="6" name="차트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26</xdr:col>
      <xdr:colOff>8442</xdr:colOff>
      <xdr:row>29</xdr:row>
      <xdr:rowOff>17319</xdr:rowOff>
    </xdr:from>
    <xdr:to>
      <xdr:col>32</xdr:col>
      <xdr:colOff>164306</xdr:colOff>
      <xdr:row>55</xdr:row>
      <xdr:rowOff>55419</xdr:rowOff>
    </xdr:to>
    <xdr:graphicFrame macro="">
      <xdr:nvGraphicFramePr>
        <xdr:cNvPr id="7" name="차트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32</xdr:col>
      <xdr:colOff>649377</xdr:colOff>
      <xdr:row>29</xdr:row>
      <xdr:rowOff>0</xdr:rowOff>
    </xdr:from>
    <xdr:to>
      <xdr:col>38</xdr:col>
      <xdr:colOff>839877</xdr:colOff>
      <xdr:row>55</xdr:row>
      <xdr:rowOff>38100</xdr:rowOff>
    </xdr:to>
    <xdr:graphicFrame macro="">
      <xdr:nvGraphicFramePr>
        <xdr:cNvPr id="8" name="차트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39</xdr:col>
      <xdr:colOff>181841</xdr:colOff>
      <xdr:row>28</xdr:row>
      <xdr:rowOff>147205</xdr:rowOff>
    </xdr:from>
    <xdr:to>
      <xdr:col>45</xdr:col>
      <xdr:colOff>337705</xdr:colOff>
      <xdr:row>55</xdr:row>
      <xdr:rowOff>29441</xdr:rowOff>
    </xdr:to>
    <xdr:graphicFrame macro="">
      <xdr:nvGraphicFramePr>
        <xdr:cNvPr id="9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25</xdr:col>
      <xdr:colOff>908988</xdr:colOff>
      <xdr:row>56</xdr:row>
      <xdr:rowOff>95250</xdr:rowOff>
    </xdr:from>
    <xdr:to>
      <xdr:col>32</xdr:col>
      <xdr:colOff>181624</xdr:colOff>
      <xdr:row>82</xdr:row>
      <xdr:rowOff>133350</xdr:rowOff>
    </xdr:to>
    <xdr:graphicFrame macro="">
      <xdr:nvGraphicFramePr>
        <xdr:cNvPr id="10" name="차트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32</xdr:col>
      <xdr:colOff>632059</xdr:colOff>
      <xdr:row>56</xdr:row>
      <xdr:rowOff>43295</xdr:rowOff>
    </xdr:from>
    <xdr:to>
      <xdr:col>38</xdr:col>
      <xdr:colOff>822559</xdr:colOff>
      <xdr:row>82</xdr:row>
      <xdr:rowOff>81396</xdr:rowOff>
    </xdr:to>
    <xdr:graphicFrame macro="">
      <xdr:nvGraphicFramePr>
        <xdr:cNvPr id="11" name="차트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39</xdr:col>
      <xdr:colOff>155864</xdr:colOff>
      <xdr:row>56</xdr:row>
      <xdr:rowOff>8658</xdr:rowOff>
    </xdr:from>
    <xdr:to>
      <xdr:col>45</xdr:col>
      <xdr:colOff>346364</xdr:colOff>
      <xdr:row>82</xdr:row>
      <xdr:rowOff>46759</xdr:rowOff>
    </xdr:to>
    <xdr:graphicFrame macro="">
      <xdr:nvGraphicFramePr>
        <xdr:cNvPr id="12" name="차트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Library" Target="VCEG-AE07_BJM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raph1"/>
      <sheetName val="Feuil1"/>
      <sheetName val="Feuil2"/>
      <sheetName val="Feuil3"/>
      <sheetName val="VCEG-AE07_BJM"/>
    </sheetNames>
    <definedNames>
      <definedName name="BJM"/>
    </definedNames>
    <sheetDataSet>
      <sheetData sheetId="0" refreshError="1"/>
      <sheetData sheetId="1"/>
      <sheetData sheetId="2"/>
      <sheetData sheetId="3"/>
      <sheetData sheetId="4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tint val="100000"/>
              <a:shade val="100000"/>
              <a:satMod val="130000"/>
            </a:schemeClr>
          </a:gs>
          <a:gs pos="100000">
            <a:schemeClr val="phClr">
              <a:tint val="50000"/>
              <a:shade val="100000"/>
              <a:satMod val="350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tint val="100000"/>
              <a:shade val="100000"/>
              <a:satMod val="130000"/>
            </a:schemeClr>
          </a:gs>
          <a:gs pos="100000">
            <a:schemeClr val="phClr">
              <a:tint val="50000"/>
              <a:shade val="100000"/>
              <a:satMod val="350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tint val="100000"/>
              <a:shade val="100000"/>
              <a:satMod val="130000"/>
            </a:schemeClr>
          </a:gs>
          <a:gs pos="100000">
            <a:schemeClr val="phClr">
              <a:tint val="50000"/>
              <a:shade val="100000"/>
              <a:satMod val="350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tint val="100000"/>
              <a:shade val="100000"/>
              <a:satMod val="130000"/>
            </a:schemeClr>
          </a:gs>
          <a:gs pos="100000">
            <a:schemeClr val="phClr">
              <a:tint val="50000"/>
              <a:shade val="100000"/>
              <a:satMod val="350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tint val="100000"/>
              <a:shade val="100000"/>
              <a:satMod val="130000"/>
            </a:schemeClr>
          </a:gs>
          <a:gs pos="100000">
            <a:schemeClr val="phClr">
              <a:tint val="50000"/>
              <a:shade val="100000"/>
              <a:satMod val="350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tint val="100000"/>
              <a:shade val="100000"/>
              <a:satMod val="130000"/>
            </a:schemeClr>
          </a:gs>
          <a:gs pos="100000">
            <a:schemeClr val="phClr">
              <a:tint val="50000"/>
              <a:shade val="100000"/>
              <a:satMod val="350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tint val="100000"/>
              <a:shade val="100000"/>
              <a:satMod val="130000"/>
            </a:schemeClr>
          </a:gs>
          <a:gs pos="100000">
            <a:schemeClr val="phClr">
              <a:tint val="50000"/>
              <a:shade val="100000"/>
              <a:satMod val="350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tint val="100000"/>
              <a:shade val="100000"/>
              <a:satMod val="130000"/>
            </a:schemeClr>
          </a:gs>
          <a:gs pos="100000">
            <a:schemeClr val="phClr">
              <a:tint val="50000"/>
              <a:shade val="100000"/>
              <a:satMod val="350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tint val="100000"/>
              <a:shade val="100000"/>
              <a:satMod val="130000"/>
            </a:schemeClr>
          </a:gs>
          <a:gs pos="100000">
            <a:schemeClr val="phClr">
              <a:tint val="50000"/>
              <a:shade val="100000"/>
              <a:satMod val="350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B1:K52"/>
  <sheetViews>
    <sheetView workbookViewId="0">
      <selection activeCell="K29" sqref="K29"/>
    </sheetView>
  </sheetViews>
  <sheetFormatPr defaultColWidth="10.77734375" defaultRowHeight="12" x14ac:dyDescent="0.2"/>
  <cols>
    <col min="1" max="1" width="4.109375" style="1" customWidth="1"/>
    <col min="2" max="2" width="10.77734375" style="1" customWidth="1"/>
    <col min="3" max="8" width="8.77734375" style="1" customWidth="1"/>
    <col min="9" max="16384" width="10.77734375" style="1"/>
  </cols>
  <sheetData>
    <row r="1" spans="2:11" ht="12.75" thickBot="1" x14ac:dyDescent="0.25"/>
    <row r="2" spans="2:11" x14ac:dyDescent="0.2">
      <c r="C2" s="159" t="s">
        <v>74</v>
      </c>
      <c r="D2" s="160"/>
      <c r="E2" s="161"/>
      <c r="F2" s="159" t="s">
        <v>78</v>
      </c>
      <c r="G2" s="160"/>
      <c r="H2" s="161"/>
      <c r="J2" s="56" t="s">
        <v>51</v>
      </c>
      <c r="K2" s="56" t="s">
        <v>100</v>
      </c>
    </row>
    <row r="3" spans="2:11" ht="12.75" thickBot="1" x14ac:dyDescent="0.25">
      <c r="C3" s="57" t="s">
        <v>41</v>
      </c>
      <c r="D3" s="58" t="s">
        <v>42</v>
      </c>
      <c r="E3" s="59" t="s">
        <v>43</v>
      </c>
      <c r="F3" s="57" t="s">
        <v>41</v>
      </c>
      <c r="G3" s="58" t="s">
        <v>42</v>
      </c>
      <c r="H3" s="59" t="s">
        <v>43</v>
      </c>
      <c r="J3" s="56" t="s">
        <v>52</v>
      </c>
      <c r="K3" s="56" t="s">
        <v>89</v>
      </c>
    </row>
    <row r="4" spans="2:11" x14ac:dyDescent="0.2">
      <c r="B4" s="13" t="s">
        <v>2</v>
      </c>
      <c r="C4" s="21" t="e">
        <f>'AI-Main'!T99</f>
        <v>#VALUE!</v>
      </c>
      <c r="D4" s="22" t="e">
        <f>'AI-Main'!U99</f>
        <v>#VALUE!</v>
      </c>
      <c r="E4" s="23" t="e">
        <f>'AI-Main'!V99</f>
        <v>#VALUE!</v>
      </c>
      <c r="F4" s="21" t="e">
        <f>'AI-HE10'!T99</f>
        <v>#VALUE!</v>
      </c>
      <c r="G4" s="22" t="e">
        <f>'AI-HE10'!U99</f>
        <v>#VALUE!</v>
      </c>
      <c r="H4" s="23" t="e">
        <f>'AI-HE10'!V99</f>
        <v>#VALUE!</v>
      </c>
    </row>
    <row r="5" spans="2:11" x14ac:dyDescent="0.2">
      <c r="B5" s="24" t="s">
        <v>7</v>
      </c>
      <c r="C5" s="44">
        <f>'AI-Main'!T100</f>
        <v>0</v>
      </c>
      <c r="D5" s="45">
        <f>'AI-Main'!U100</f>
        <v>0</v>
      </c>
      <c r="E5" s="46">
        <f>'AI-Main'!V100</f>
        <v>0</v>
      </c>
      <c r="F5" s="44" t="e">
        <f>'AI-HE10'!T100</f>
        <v>#VALUE!</v>
      </c>
      <c r="G5" s="45" t="e">
        <f>'AI-HE10'!U100</f>
        <v>#VALUE!</v>
      </c>
      <c r="H5" s="46" t="e">
        <f>'AI-HE10'!V100</f>
        <v>#VALUE!</v>
      </c>
    </row>
    <row r="6" spans="2:11" x14ac:dyDescent="0.2">
      <c r="B6" s="24" t="s">
        <v>14</v>
      </c>
      <c r="C6" s="44">
        <f>'AI-Main'!T101</f>
        <v>0</v>
      </c>
      <c r="D6" s="45">
        <f>'AI-Main'!U101</f>
        <v>0</v>
      </c>
      <c r="E6" s="46">
        <f>'AI-Main'!V101</f>
        <v>0</v>
      </c>
      <c r="F6" s="44" t="e">
        <f>'AI-HE10'!T101</f>
        <v>#VALUE!</v>
      </c>
      <c r="G6" s="45" t="e">
        <f>'AI-HE10'!U101</f>
        <v>#VALUE!</v>
      </c>
      <c r="H6" s="46" t="e">
        <f>'AI-HE10'!V101</f>
        <v>#VALUE!</v>
      </c>
    </row>
    <row r="7" spans="2:11" x14ac:dyDescent="0.2">
      <c r="B7" s="24" t="s">
        <v>20</v>
      </c>
      <c r="C7" s="44">
        <f>'AI-Main'!T102</f>
        <v>0</v>
      </c>
      <c r="D7" s="45">
        <f>'AI-Main'!U102</f>
        <v>0</v>
      </c>
      <c r="E7" s="46">
        <f>'AI-Main'!V102</f>
        <v>0</v>
      </c>
      <c r="F7" s="44" t="e">
        <f>'AI-HE10'!T102</f>
        <v>#VALUE!</v>
      </c>
      <c r="G7" s="45" t="e">
        <f>'AI-HE10'!U102</f>
        <v>#VALUE!</v>
      </c>
      <c r="H7" s="46" t="e">
        <f>'AI-HE10'!V102</f>
        <v>#VALUE!</v>
      </c>
    </row>
    <row r="8" spans="2:11" ht="12.75" thickBot="1" x14ac:dyDescent="0.25">
      <c r="B8" s="24" t="s">
        <v>27</v>
      </c>
      <c r="C8" s="44" t="e">
        <f>'AI-Main'!T103</f>
        <v>#VALUE!</v>
      </c>
      <c r="D8" s="45" t="e">
        <f>'AI-Main'!U103</f>
        <v>#VALUE!</v>
      </c>
      <c r="E8" s="46" t="e">
        <f>'AI-Main'!V103</f>
        <v>#VALUE!</v>
      </c>
      <c r="F8" s="44" t="e">
        <f>'AI-HE10'!T103</f>
        <v>#VALUE!</v>
      </c>
      <c r="G8" s="45" t="e">
        <f>'AI-HE10'!U103</f>
        <v>#VALUE!</v>
      </c>
      <c r="H8" s="46" t="e">
        <f>'AI-HE10'!V103</f>
        <v>#VALUE!</v>
      </c>
    </row>
    <row r="9" spans="2:11" x14ac:dyDescent="0.2">
      <c r="B9" s="121" t="s">
        <v>44</v>
      </c>
      <c r="C9" s="22">
        <f>'AI-Main'!T112</f>
        <v>0</v>
      </c>
      <c r="D9" s="22">
        <f>'AI-Main'!U112</f>
        <v>0</v>
      </c>
      <c r="E9" s="23">
        <f>'AI-Main'!V112</f>
        <v>0</v>
      </c>
      <c r="F9" s="22" t="e">
        <f>'AI-HE10'!T112</f>
        <v>#VALUE!</v>
      </c>
      <c r="G9" s="22" t="e">
        <f>'AI-HE10'!U112</f>
        <v>#VALUE!</v>
      </c>
      <c r="H9" s="23" t="e">
        <f>'AI-HE10'!V112</f>
        <v>#VALUE!</v>
      </c>
      <c r="J9" s="56" t="s">
        <v>49</v>
      </c>
    </row>
    <row r="10" spans="2:11" ht="12.75" thickBot="1" x14ac:dyDescent="0.25">
      <c r="B10" s="34"/>
      <c r="C10" s="60">
        <f>'AI-Main'!W112</f>
        <v>0</v>
      </c>
      <c r="D10" s="60">
        <f>'AI-Main'!X112</f>
        <v>0</v>
      </c>
      <c r="E10" s="61">
        <f>'AI-Main'!Y112</f>
        <v>0</v>
      </c>
      <c r="F10" s="60" t="e">
        <f>'AI-HE10'!W112</f>
        <v>#VALUE!</v>
      </c>
      <c r="G10" s="60" t="e">
        <f>'AI-HE10'!X112</f>
        <v>#VALUE!</v>
      </c>
      <c r="H10" s="61" t="e">
        <f>'AI-HE10'!Y112</f>
        <v>#VALUE!</v>
      </c>
      <c r="J10" s="1" t="s">
        <v>50</v>
      </c>
    </row>
    <row r="11" spans="2:11" ht="12.75" thickBot="1" x14ac:dyDescent="0.25">
      <c r="B11" s="120" t="s">
        <v>66</v>
      </c>
      <c r="C11" s="51">
        <f>'AI-Main'!T104</f>
        <v>0</v>
      </c>
      <c r="D11" s="52">
        <f>'AI-Main'!U104</f>
        <v>0</v>
      </c>
      <c r="E11" s="53">
        <f>'AI-Main'!V104</f>
        <v>0</v>
      </c>
      <c r="F11" s="51" t="e">
        <f>'AI-HE10'!T104</f>
        <v>#VALUE!</v>
      </c>
      <c r="G11" s="52" t="e">
        <f>'AI-HE10'!U104</f>
        <v>#VALUE!</v>
      </c>
      <c r="H11" s="53" t="e">
        <f>'AI-HE10'!V104</f>
        <v>#VALUE!</v>
      </c>
    </row>
    <row r="12" spans="2:11" x14ac:dyDescent="0.2">
      <c r="B12" s="24" t="s">
        <v>45</v>
      </c>
      <c r="C12" s="153">
        <f>'AI-Main'!R114</f>
        <v>0</v>
      </c>
      <c r="D12" s="154"/>
      <c r="E12" s="155"/>
      <c r="F12" s="153" t="e">
        <f>'AI-HE10'!R114</f>
        <v>#NUM!</v>
      </c>
      <c r="G12" s="154"/>
      <c r="H12" s="155"/>
    </row>
    <row r="13" spans="2:11" ht="12.75" thickBot="1" x14ac:dyDescent="0.25">
      <c r="B13" s="34" t="s">
        <v>46</v>
      </c>
      <c r="C13" s="156">
        <f>'AI-Main'!Q114</f>
        <v>0</v>
      </c>
      <c r="D13" s="157"/>
      <c r="E13" s="158"/>
      <c r="F13" s="156" t="e">
        <f>'AI-HE10'!Q114</f>
        <v>#NUM!</v>
      </c>
      <c r="G13" s="157"/>
      <c r="H13" s="158"/>
      <c r="J13" s="56" t="s">
        <v>73</v>
      </c>
    </row>
    <row r="14" spans="2:11" ht="12.75" thickBot="1" x14ac:dyDescent="0.25"/>
    <row r="15" spans="2:11" x14ac:dyDescent="0.2">
      <c r="C15" s="159" t="s">
        <v>75</v>
      </c>
      <c r="D15" s="160"/>
      <c r="E15" s="161"/>
      <c r="F15" s="159" t="s">
        <v>79</v>
      </c>
      <c r="G15" s="160"/>
      <c r="H15" s="161"/>
    </row>
    <row r="16" spans="2:11" ht="12.75" thickBot="1" x14ac:dyDescent="0.25">
      <c r="C16" s="115" t="s">
        <v>41</v>
      </c>
      <c r="D16" s="9" t="s">
        <v>42</v>
      </c>
      <c r="E16" s="114" t="s">
        <v>43</v>
      </c>
      <c r="F16" s="115" t="s">
        <v>41</v>
      </c>
      <c r="G16" s="9" t="s">
        <v>42</v>
      </c>
      <c r="H16" s="114" t="s">
        <v>43</v>
      </c>
    </row>
    <row r="17" spans="2:8" x14ac:dyDescent="0.2">
      <c r="B17" s="13" t="s">
        <v>2</v>
      </c>
      <c r="C17" s="21" t="e">
        <f>'RA-Main'!T99</f>
        <v>#VALUE!</v>
      </c>
      <c r="D17" s="22" t="e">
        <f>'RA-Main'!U99</f>
        <v>#VALUE!</v>
      </c>
      <c r="E17" s="23" t="e">
        <f>'RA-Main'!V99</f>
        <v>#VALUE!</v>
      </c>
      <c r="F17" s="21" t="e">
        <f>'RA-HE10'!T99</f>
        <v>#VALUE!</v>
      </c>
      <c r="G17" s="22" t="e">
        <f>'RA-HE10'!U99</f>
        <v>#VALUE!</v>
      </c>
      <c r="H17" s="23" t="e">
        <f>'RA-HE10'!V99</f>
        <v>#VALUE!</v>
      </c>
    </row>
    <row r="18" spans="2:8" x14ac:dyDescent="0.2">
      <c r="B18" s="24" t="s">
        <v>7</v>
      </c>
      <c r="C18" s="44" t="e">
        <f>'RA-Main'!T100</f>
        <v>#VALUE!</v>
      </c>
      <c r="D18" s="45" t="e">
        <f>'RA-Main'!U100</f>
        <v>#VALUE!</v>
      </c>
      <c r="E18" s="46" t="e">
        <f>'RA-Main'!V100</f>
        <v>#VALUE!</v>
      </c>
      <c r="F18" s="44" t="e">
        <f>'RA-HE10'!T100</f>
        <v>#VALUE!</v>
      </c>
      <c r="G18" s="45" t="e">
        <f>'RA-HE10'!U100</f>
        <v>#VALUE!</v>
      </c>
      <c r="H18" s="46" t="e">
        <f>'RA-HE10'!V100</f>
        <v>#VALUE!</v>
      </c>
    </row>
    <row r="19" spans="2:8" x14ac:dyDescent="0.2">
      <c r="B19" s="24" t="s">
        <v>14</v>
      </c>
      <c r="C19" s="44" t="e">
        <f>'RA-Main'!T101</f>
        <v>#VALUE!</v>
      </c>
      <c r="D19" s="45" t="e">
        <f>'RA-Main'!U101</f>
        <v>#VALUE!</v>
      </c>
      <c r="E19" s="46" t="e">
        <f>'RA-Main'!V101</f>
        <v>#VALUE!</v>
      </c>
      <c r="F19" s="44" t="e">
        <f>'RA-HE10'!T101</f>
        <v>#VALUE!</v>
      </c>
      <c r="G19" s="45" t="e">
        <f>'RA-HE10'!U101</f>
        <v>#VALUE!</v>
      </c>
      <c r="H19" s="46" t="e">
        <f>'RA-HE10'!V101</f>
        <v>#VALUE!</v>
      </c>
    </row>
    <row r="20" spans="2:8" x14ac:dyDescent="0.2">
      <c r="B20" s="24" t="s">
        <v>20</v>
      </c>
      <c r="C20" s="44" t="e">
        <f>'RA-Main'!T102</f>
        <v>#VALUE!</v>
      </c>
      <c r="D20" s="45" t="e">
        <f>'RA-Main'!U102</f>
        <v>#VALUE!</v>
      </c>
      <c r="E20" s="46" t="e">
        <f>'RA-Main'!V102</f>
        <v>#VALUE!</v>
      </c>
      <c r="F20" s="44" t="e">
        <f>'RA-HE10'!T102</f>
        <v>#VALUE!</v>
      </c>
      <c r="G20" s="45" t="e">
        <f>'RA-HE10'!U102</f>
        <v>#VALUE!</v>
      </c>
      <c r="H20" s="46" t="e">
        <f>'RA-HE10'!V102</f>
        <v>#VALUE!</v>
      </c>
    </row>
    <row r="21" spans="2:8" ht="12.75" thickBot="1" x14ac:dyDescent="0.25">
      <c r="B21" s="24" t="s">
        <v>27</v>
      </c>
      <c r="C21" s="115"/>
      <c r="D21" s="9"/>
      <c r="E21" s="114"/>
      <c r="F21" s="115"/>
      <c r="G21" s="9"/>
      <c r="H21" s="114"/>
    </row>
    <row r="22" spans="2:8" x14ac:dyDescent="0.2">
      <c r="B22" s="62" t="s">
        <v>44</v>
      </c>
      <c r="C22" s="22" t="e">
        <f>'RA-Main'!T112</f>
        <v>#VALUE!</v>
      </c>
      <c r="D22" s="22" t="e">
        <f>'RA-Main'!U112</f>
        <v>#VALUE!</v>
      </c>
      <c r="E22" s="23" t="e">
        <f>'RA-Main'!V112</f>
        <v>#VALUE!</v>
      </c>
      <c r="F22" s="22" t="e">
        <f>'RA-HE10'!T112</f>
        <v>#VALUE!</v>
      </c>
      <c r="G22" s="22" t="e">
        <f>'RA-HE10'!U112</f>
        <v>#VALUE!</v>
      </c>
      <c r="H22" s="23" t="e">
        <f>'RA-HE10'!V112</f>
        <v>#VALUE!</v>
      </c>
    </row>
    <row r="23" spans="2:8" ht="12.75" thickBot="1" x14ac:dyDescent="0.25">
      <c r="B23" s="34"/>
      <c r="C23" s="60" t="e">
        <f>'RA-Main'!W112</f>
        <v>#VALUE!</v>
      </c>
      <c r="D23" s="60" t="e">
        <f>'RA-Main'!X112</f>
        <v>#VALUE!</v>
      </c>
      <c r="E23" s="61" t="e">
        <f>'RA-Main'!Y112</f>
        <v>#VALUE!</v>
      </c>
      <c r="F23" s="60" t="e">
        <f>'RA-HE10'!W112</f>
        <v>#VALUE!</v>
      </c>
      <c r="G23" s="60" t="e">
        <f>'RA-HE10'!X112</f>
        <v>#VALUE!</v>
      </c>
      <c r="H23" s="61" t="e">
        <f>'RA-HE10'!Y112</f>
        <v>#VALUE!</v>
      </c>
    </row>
    <row r="24" spans="2:8" ht="12.75" thickBot="1" x14ac:dyDescent="0.25">
      <c r="B24" s="34" t="s">
        <v>66</v>
      </c>
      <c r="C24" s="48" t="e">
        <f>'RA-Main'!T104</f>
        <v>#VALUE!</v>
      </c>
      <c r="D24" s="49" t="e">
        <f>'RA-Main'!U104</f>
        <v>#VALUE!</v>
      </c>
      <c r="E24" s="50" t="e">
        <f>'RA-Main'!V104</f>
        <v>#VALUE!</v>
      </c>
      <c r="F24" s="48" t="e">
        <f>'RA-HE10'!T104</f>
        <v>#VALUE!</v>
      </c>
      <c r="G24" s="49" t="e">
        <f>'RA-HE10'!U104</f>
        <v>#VALUE!</v>
      </c>
      <c r="H24" s="50" t="e">
        <f>'RA-HE10'!V104</f>
        <v>#VALUE!</v>
      </c>
    </row>
    <row r="25" spans="2:8" x14ac:dyDescent="0.2">
      <c r="B25" s="13" t="s">
        <v>45</v>
      </c>
      <c r="C25" s="153" t="e">
        <f>'RA-Main'!R114</f>
        <v>#NUM!</v>
      </c>
      <c r="D25" s="154"/>
      <c r="E25" s="155"/>
      <c r="F25" s="153" t="e">
        <f>'RA-HE10'!R114</f>
        <v>#NUM!</v>
      </c>
      <c r="G25" s="154"/>
      <c r="H25" s="155"/>
    </row>
    <row r="26" spans="2:8" ht="12.75" thickBot="1" x14ac:dyDescent="0.25">
      <c r="B26" s="34" t="s">
        <v>46</v>
      </c>
      <c r="C26" s="156" t="e">
        <f>'RA-Main'!Q114</f>
        <v>#NUM!</v>
      </c>
      <c r="D26" s="157"/>
      <c r="E26" s="158"/>
      <c r="F26" s="156" t="e">
        <f>'RA-HE10'!Q114</f>
        <v>#NUM!</v>
      </c>
      <c r="G26" s="157"/>
      <c r="H26" s="158"/>
    </row>
    <row r="27" spans="2:8" ht="12.75" thickBot="1" x14ac:dyDescent="0.25"/>
    <row r="28" spans="2:8" x14ac:dyDescent="0.2">
      <c r="C28" s="159" t="s">
        <v>76</v>
      </c>
      <c r="D28" s="160"/>
      <c r="E28" s="161"/>
      <c r="F28" s="159" t="s">
        <v>80</v>
      </c>
      <c r="G28" s="160"/>
      <c r="H28" s="161"/>
    </row>
    <row r="29" spans="2:8" ht="12.75" thickBot="1" x14ac:dyDescent="0.25">
      <c r="C29" s="115" t="s">
        <v>41</v>
      </c>
      <c r="D29" s="9" t="s">
        <v>42</v>
      </c>
      <c r="E29" s="114" t="s">
        <v>43</v>
      </c>
      <c r="F29" s="115" t="s">
        <v>41</v>
      </c>
      <c r="G29" s="9" t="s">
        <v>42</v>
      </c>
      <c r="H29" s="114" t="s">
        <v>43</v>
      </c>
    </row>
    <row r="30" spans="2:8" x14ac:dyDescent="0.2">
      <c r="B30" s="13" t="s">
        <v>2</v>
      </c>
      <c r="C30" s="10"/>
      <c r="D30" s="11"/>
      <c r="E30" s="12"/>
      <c r="F30" s="10"/>
      <c r="G30" s="11"/>
      <c r="H30" s="12"/>
    </row>
    <row r="31" spans="2:8" x14ac:dyDescent="0.2">
      <c r="B31" s="24" t="s">
        <v>7</v>
      </c>
      <c r="C31" s="44" t="e">
        <f>'LB-Main'!T100</f>
        <v>#VALUE!</v>
      </c>
      <c r="D31" s="45" t="e">
        <f>'LB-Main'!U100</f>
        <v>#VALUE!</v>
      </c>
      <c r="E31" s="46" t="e">
        <f>'LB-Main'!V100</f>
        <v>#VALUE!</v>
      </c>
      <c r="F31" s="44" t="e">
        <f>'LB-HE10'!T100</f>
        <v>#VALUE!</v>
      </c>
      <c r="G31" s="45" t="e">
        <f>'LB-HE10'!U100</f>
        <v>#VALUE!</v>
      </c>
      <c r="H31" s="46" t="e">
        <f>'LB-HE10'!V100</f>
        <v>#VALUE!</v>
      </c>
    </row>
    <row r="32" spans="2:8" x14ac:dyDescent="0.2">
      <c r="B32" s="24" t="s">
        <v>14</v>
      </c>
      <c r="C32" s="44" t="e">
        <f>'LB-Main'!T101</f>
        <v>#VALUE!</v>
      </c>
      <c r="D32" s="45" t="e">
        <f>'LB-Main'!U101</f>
        <v>#VALUE!</v>
      </c>
      <c r="E32" s="46" t="e">
        <f>'LB-Main'!V101</f>
        <v>#VALUE!</v>
      </c>
      <c r="F32" s="44" t="e">
        <f>'LB-HE10'!T101</f>
        <v>#VALUE!</v>
      </c>
      <c r="G32" s="45" t="e">
        <f>'LB-HE10'!U101</f>
        <v>#VALUE!</v>
      </c>
      <c r="H32" s="46" t="e">
        <f>'LB-HE10'!V101</f>
        <v>#VALUE!</v>
      </c>
    </row>
    <row r="33" spans="2:8" x14ac:dyDescent="0.2">
      <c r="B33" s="24" t="s">
        <v>20</v>
      </c>
      <c r="C33" s="44" t="e">
        <f>'LB-Main'!T102</f>
        <v>#VALUE!</v>
      </c>
      <c r="D33" s="45" t="e">
        <f>'LB-Main'!U102</f>
        <v>#VALUE!</v>
      </c>
      <c r="E33" s="46" t="e">
        <f>'LB-Main'!V102</f>
        <v>#VALUE!</v>
      </c>
      <c r="F33" s="44" t="e">
        <f>'LB-HE10'!T102</f>
        <v>#VALUE!</v>
      </c>
      <c r="G33" s="45" t="e">
        <f>'LB-HE10'!U102</f>
        <v>#VALUE!</v>
      </c>
      <c r="H33" s="46" t="e">
        <f>'LB-HE10'!V102</f>
        <v>#VALUE!</v>
      </c>
    </row>
    <row r="34" spans="2:8" ht="12.75" thickBot="1" x14ac:dyDescent="0.25">
      <c r="B34" s="24" t="s">
        <v>27</v>
      </c>
      <c r="C34" s="44" t="e">
        <f>'LB-Main'!T103</f>
        <v>#VALUE!</v>
      </c>
      <c r="D34" s="45" t="e">
        <f>'LB-Main'!U103</f>
        <v>#VALUE!</v>
      </c>
      <c r="E34" s="46" t="e">
        <f>'LB-Main'!V103</f>
        <v>#VALUE!</v>
      </c>
      <c r="F34" s="44" t="e">
        <f>'LB-HE10'!T103</f>
        <v>#VALUE!</v>
      </c>
      <c r="G34" s="45" t="e">
        <f>'LB-HE10'!U103</f>
        <v>#VALUE!</v>
      </c>
      <c r="H34" s="46" t="e">
        <f>'LB-HE10'!V103</f>
        <v>#VALUE!</v>
      </c>
    </row>
    <row r="35" spans="2:8" x14ac:dyDescent="0.2">
      <c r="B35" s="62" t="s">
        <v>44</v>
      </c>
      <c r="C35" s="22" t="e">
        <f>'LB-Main'!T112</f>
        <v>#VALUE!</v>
      </c>
      <c r="D35" s="22" t="e">
        <f>'LB-Main'!U112</f>
        <v>#VALUE!</v>
      </c>
      <c r="E35" s="23" t="e">
        <f>'LB-Main'!V112</f>
        <v>#VALUE!</v>
      </c>
      <c r="F35" s="22" t="e">
        <f>'LB-HE10'!T112</f>
        <v>#VALUE!</v>
      </c>
      <c r="G35" s="22" t="e">
        <f>'LB-HE10'!U112</f>
        <v>#VALUE!</v>
      </c>
      <c r="H35" s="23" t="e">
        <f>'LB-HE10'!V112</f>
        <v>#VALUE!</v>
      </c>
    </row>
    <row r="36" spans="2:8" ht="12.75" thickBot="1" x14ac:dyDescent="0.25">
      <c r="B36" s="34"/>
      <c r="C36" s="60" t="e">
        <f>'LB-Main'!W112</f>
        <v>#VALUE!</v>
      </c>
      <c r="D36" s="60" t="e">
        <f>'LB-Main'!X112</f>
        <v>#VALUE!</v>
      </c>
      <c r="E36" s="61" t="e">
        <f>'LB-Main'!Y112</f>
        <v>#VALUE!</v>
      </c>
      <c r="F36" s="60" t="e">
        <f>'LB-HE10'!W112</f>
        <v>#VALUE!</v>
      </c>
      <c r="G36" s="60" t="e">
        <f>'LB-HE10'!X112</f>
        <v>#VALUE!</v>
      </c>
      <c r="H36" s="61" t="e">
        <f>'LB-HE10'!Y112</f>
        <v>#VALUE!</v>
      </c>
    </row>
    <row r="37" spans="2:8" ht="12.75" thickBot="1" x14ac:dyDescent="0.25">
      <c r="B37" s="34" t="s">
        <v>66</v>
      </c>
      <c r="C37" s="48" t="e">
        <f>'LB-Main'!T104</f>
        <v>#VALUE!</v>
      </c>
      <c r="D37" s="49" t="e">
        <f>'LB-Main'!U104</f>
        <v>#VALUE!</v>
      </c>
      <c r="E37" s="50" t="e">
        <f>'LB-Main'!V104</f>
        <v>#VALUE!</v>
      </c>
      <c r="F37" s="48" t="e">
        <f>'LB-HE10'!T104</f>
        <v>#VALUE!</v>
      </c>
      <c r="G37" s="49" t="e">
        <f>'LB-HE10'!U104</f>
        <v>#VALUE!</v>
      </c>
      <c r="H37" s="50" t="e">
        <f>'LB-HE10'!V104</f>
        <v>#VALUE!</v>
      </c>
    </row>
    <row r="38" spans="2:8" x14ac:dyDescent="0.2">
      <c r="B38" s="13" t="s">
        <v>45</v>
      </c>
      <c r="C38" s="153" t="e">
        <f>'LB-Main'!R114</f>
        <v>#NUM!</v>
      </c>
      <c r="D38" s="154"/>
      <c r="E38" s="155"/>
      <c r="F38" s="153" t="e">
        <f>'LB-HE10'!R114</f>
        <v>#NUM!</v>
      </c>
      <c r="G38" s="154"/>
      <c r="H38" s="155"/>
    </row>
    <row r="39" spans="2:8" ht="12.75" thickBot="1" x14ac:dyDescent="0.25">
      <c r="B39" s="34" t="s">
        <v>46</v>
      </c>
      <c r="C39" s="156" t="e">
        <f>'LB-Main'!Q114</f>
        <v>#NUM!</v>
      </c>
      <c r="D39" s="157"/>
      <c r="E39" s="158"/>
      <c r="F39" s="156" t="e">
        <f>'LB-HE10'!Q114</f>
        <v>#NUM!</v>
      </c>
      <c r="G39" s="157"/>
      <c r="H39" s="158"/>
    </row>
    <row r="40" spans="2:8" ht="12.75" thickBot="1" x14ac:dyDescent="0.25"/>
    <row r="41" spans="2:8" x14ac:dyDescent="0.2">
      <c r="C41" s="159" t="s">
        <v>77</v>
      </c>
      <c r="D41" s="160"/>
      <c r="E41" s="161"/>
      <c r="F41" s="159" t="s">
        <v>81</v>
      </c>
      <c r="G41" s="160"/>
      <c r="H41" s="161"/>
    </row>
    <row r="42" spans="2:8" ht="12.75" thickBot="1" x14ac:dyDescent="0.25">
      <c r="C42" s="115" t="s">
        <v>41</v>
      </c>
      <c r="D42" s="9" t="s">
        <v>42</v>
      </c>
      <c r="E42" s="114" t="s">
        <v>43</v>
      </c>
      <c r="F42" s="115" t="s">
        <v>41</v>
      </c>
      <c r="G42" s="9" t="s">
        <v>42</v>
      </c>
      <c r="H42" s="114" t="s">
        <v>43</v>
      </c>
    </row>
    <row r="43" spans="2:8" x14ac:dyDescent="0.2">
      <c r="B43" s="13" t="s">
        <v>2</v>
      </c>
      <c r="C43" s="10"/>
      <c r="D43" s="11"/>
      <c r="E43" s="12"/>
      <c r="F43" s="10"/>
      <c r="G43" s="11"/>
      <c r="H43" s="12"/>
    </row>
    <row r="44" spans="2:8" x14ac:dyDescent="0.2">
      <c r="B44" s="24" t="s">
        <v>7</v>
      </c>
      <c r="C44" s="44"/>
      <c r="D44" s="45"/>
      <c r="E44" s="46"/>
      <c r="F44" s="44"/>
      <c r="G44" s="45"/>
      <c r="H44" s="46"/>
    </row>
    <row r="45" spans="2:8" x14ac:dyDescent="0.2">
      <c r="B45" s="24" t="s">
        <v>14</v>
      </c>
      <c r="C45" s="44"/>
      <c r="D45" s="45"/>
      <c r="E45" s="46"/>
      <c r="F45" s="44"/>
      <c r="G45" s="45"/>
      <c r="H45" s="46"/>
    </row>
    <row r="46" spans="2:8" x14ac:dyDescent="0.2">
      <c r="B46" s="24" t="s">
        <v>20</v>
      </c>
      <c r="C46" s="44"/>
      <c r="D46" s="45"/>
      <c r="E46" s="46"/>
      <c r="F46" s="44"/>
      <c r="G46" s="45"/>
      <c r="H46" s="46"/>
    </row>
    <row r="47" spans="2:8" ht="12.75" thickBot="1" x14ac:dyDescent="0.25">
      <c r="B47" s="24" t="s">
        <v>27</v>
      </c>
      <c r="C47" s="44"/>
      <c r="D47" s="45"/>
      <c r="E47" s="46"/>
      <c r="F47" s="44"/>
      <c r="G47" s="45"/>
      <c r="H47" s="46"/>
    </row>
    <row r="48" spans="2:8" x14ac:dyDescent="0.2">
      <c r="B48" s="62" t="s">
        <v>44</v>
      </c>
      <c r="C48" s="22"/>
      <c r="D48" s="22"/>
      <c r="E48" s="23"/>
      <c r="F48" s="22"/>
      <c r="G48" s="22"/>
      <c r="H48" s="23"/>
    </row>
    <row r="49" spans="2:8" ht="12.75" thickBot="1" x14ac:dyDescent="0.25">
      <c r="B49" s="34"/>
      <c r="C49" s="60"/>
      <c r="D49" s="60"/>
      <c r="E49" s="61"/>
      <c r="F49" s="60"/>
      <c r="G49" s="60"/>
      <c r="H49" s="61"/>
    </row>
    <row r="50" spans="2:8" ht="12.75" thickBot="1" x14ac:dyDescent="0.25">
      <c r="B50" s="34" t="s">
        <v>66</v>
      </c>
      <c r="C50" s="48"/>
      <c r="D50" s="49"/>
      <c r="E50" s="50"/>
      <c r="F50" s="48"/>
      <c r="G50" s="49"/>
      <c r="H50" s="50"/>
    </row>
    <row r="51" spans="2:8" x14ac:dyDescent="0.2">
      <c r="B51" s="13" t="s">
        <v>45</v>
      </c>
      <c r="C51" s="153"/>
      <c r="D51" s="154"/>
      <c r="E51" s="155"/>
      <c r="F51" s="153"/>
      <c r="G51" s="154"/>
      <c r="H51" s="155"/>
    </row>
    <row r="52" spans="2:8" ht="12.75" thickBot="1" x14ac:dyDescent="0.25">
      <c r="B52" s="34" t="s">
        <v>46</v>
      </c>
      <c r="C52" s="156"/>
      <c r="D52" s="157"/>
      <c r="E52" s="158"/>
      <c r="F52" s="156"/>
      <c r="G52" s="157"/>
      <c r="H52" s="158"/>
    </row>
  </sheetData>
  <mergeCells count="24">
    <mergeCell ref="F38:H38"/>
    <mergeCell ref="F39:H39"/>
    <mergeCell ref="C2:E2"/>
    <mergeCell ref="F2:H2"/>
    <mergeCell ref="C12:E12"/>
    <mergeCell ref="C13:E13"/>
    <mergeCell ref="F12:H12"/>
    <mergeCell ref="F13:H13"/>
    <mergeCell ref="F51:H51"/>
    <mergeCell ref="F52:H52"/>
    <mergeCell ref="C51:E51"/>
    <mergeCell ref="C52:E52"/>
    <mergeCell ref="C15:E15"/>
    <mergeCell ref="F15:H15"/>
    <mergeCell ref="F41:H41"/>
    <mergeCell ref="C41:E41"/>
    <mergeCell ref="F25:H25"/>
    <mergeCell ref="F26:H26"/>
    <mergeCell ref="C25:E25"/>
    <mergeCell ref="C26:E26"/>
    <mergeCell ref="F28:H28"/>
    <mergeCell ref="C28:E28"/>
    <mergeCell ref="C38:E38"/>
    <mergeCell ref="C39:E39"/>
  </mergeCells>
  <phoneticPr fontId="2" type="noConversion"/>
  <conditionalFormatting sqref="C17:H21 C30:H34 C43:H47 C4:H9">
    <cfRule type="cellIs" dxfId="2503" priority="55" stopIfTrue="1" operator="greaterThan">
      <formula>0.03</formula>
    </cfRule>
    <cfRule type="cellIs" dxfId="2502" priority="56" stopIfTrue="1" operator="lessThan">
      <formula>-0.03</formula>
    </cfRule>
  </conditionalFormatting>
  <conditionalFormatting sqref="C22:H22">
    <cfRule type="cellIs" dxfId="2501" priority="53" stopIfTrue="1" operator="greaterThan">
      <formula>0.03</formula>
    </cfRule>
    <cfRule type="cellIs" dxfId="2500" priority="54" stopIfTrue="1" operator="lessThan">
      <formula>-0.03</formula>
    </cfRule>
  </conditionalFormatting>
  <conditionalFormatting sqref="C35:H35">
    <cfRule type="cellIs" dxfId="2499" priority="51" stopIfTrue="1" operator="greaterThan">
      <formula>0.03</formula>
    </cfRule>
    <cfRule type="cellIs" dxfId="2498" priority="52" stopIfTrue="1" operator="lessThan">
      <formula>-0.03</formula>
    </cfRule>
  </conditionalFormatting>
  <conditionalFormatting sqref="C48:H48">
    <cfRule type="cellIs" dxfId="2497" priority="49" stopIfTrue="1" operator="greaterThan">
      <formula>0.03</formula>
    </cfRule>
    <cfRule type="cellIs" dxfId="2496" priority="50" stopIfTrue="1" operator="lessThan">
      <formula>-0.03</formula>
    </cfRule>
  </conditionalFormatting>
  <conditionalFormatting sqref="C11:H11">
    <cfRule type="cellIs" dxfId="2495" priority="13" stopIfTrue="1" operator="greaterThan">
      <formula>0.03</formula>
    </cfRule>
    <cfRule type="cellIs" dxfId="2494" priority="14" stopIfTrue="1" operator="lessThan">
      <formula>-0.03</formula>
    </cfRule>
  </conditionalFormatting>
  <conditionalFormatting sqref="C24:H24">
    <cfRule type="cellIs" dxfId="2493" priority="9" stopIfTrue="1" operator="greaterThan">
      <formula>0.03</formula>
    </cfRule>
    <cfRule type="cellIs" dxfId="2492" priority="10" stopIfTrue="1" operator="lessThan">
      <formula>-0.03</formula>
    </cfRule>
  </conditionalFormatting>
  <conditionalFormatting sqref="C37:H37">
    <cfRule type="cellIs" dxfId="2491" priority="5" stopIfTrue="1" operator="greaterThan">
      <formula>0.03</formula>
    </cfRule>
    <cfRule type="cellIs" dxfId="2490" priority="6" stopIfTrue="1" operator="lessThan">
      <formula>-0.03</formula>
    </cfRule>
  </conditionalFormatting>
  <conditionalFormatting sqref="C50:H50">
    <cfRule type="cellIs" dxfId="2489" priority="3" stopIfTrue="1" operator="greaterThan">
      <formula>0.03</formula>
    </cfRule>
    <cfRule type="cellIs" dxfId="2488" priority="4" stopIfTrue="1" operator="lessThan">
      <formula>-0.03</formula>
    </cfRule>
  </conditionalFormatting>
  <pageMargins left="0.75" right="0.75" top="1" bottom="1" header="0.5" footer="0.5"/>
  <pageSetup paperSize="9" orientation="portrait" horizontalDpi="4294967292" verticalDpi="4294967292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B1:K52"/>
  <sheetViews>
    <sheetView workbookViewId="0">
      <selection activeCell="K2" sqref="K2"/>
    </sheetView>
  </sheetViews>
  <sheetFormatPr defaultColWidth="10.77734375" defaultRowHeight="12" x14ac:dyDescent="0.2"/>
  <cols>
    <col min="1" max="1" width="4.109375" style="1" customWidth="1"/>
    <col min="2" max="2" width="10.77734375" style="1" customWidth="1"/>
    <col min="3" max="8" width="8.77734375" style="1" customWidth="1"/>
    <col min="9" max="16384" width="10.77734375" style="1"/>
  </cols>
  <sheetData>
    <row r="1" spans="2:11" ht="12.75" thickBot="1" x14ac:dyDescent="0.25"/>
    <row r="2" spans="2:11" x14ac:dyDescent="0.2">
      <c r="C2" s="159" t="s">
        <v>74</v>
      </c>
      <c r="D2" s="160"/>
      <c r="E2" s="161"/>
      <c r="F2" s="159" t="s">
        <v>78</v>
      </c>
      <c r="G2" s="160"/>
      <c r="H2" s="161"/>
      <c r="J2" s="56" t="s">
        <v>51</v>
      </c>
      <c r="K2" s="56" t="str">
        <f>Summary!K2</f>
        <v>HM 10.1 Default</v>
      </c>
    </row>
    <row r="3" spans="2:11" ht="12.75" thickBot="1" x14ac:dyDescent="0.25">
      <c r="C3" s="57" t="s">
        <v>41</v>
      </c>
      <c r="D3" s="58" t="s">
        <v>42</v>
      </c>
      <c r="E3" s="59" t="s">
        <v>43</v>
      </c>
      <c r="F3" s="57" t="s">
        <v>41</v>
      </c>
      <c r="G3" s="58" t="s">
        <v>42</v>
      </c>
      <c r="H3" s="59" t="s">
        <v>43</v>
      </c>
      <c r="J3" s="56" t="s">
        <v>52</v>
      </c>
      <c r="K3" s="56" t="str">
        <f>Summary!K3</f>
        <v>Proposed</v>
      </c>
    </row>
    <row r="4" spans="2:11" x14ac:dyDescent="0.2">
      <c r="B4" s="13" t="s">
        <v>2</v>
      </c>
      <c r="C4" s="21" t="e">
        <f>'AI-Main'!T99</f>
        <v>#VALUE!</v>
      </c>
      <c r="D4" s="22" t="e">
        <f>'AI-Main'!U99</f>
        <v>#VALUE!</v>
      </c>
      <c r="E4" s="23" t="e">
        <f>'AI-Main'!V99</f>
        <v>#VALUE!</v>
      </c>
      <c r="F4" s="21" t="e">
        <f>'AI-HE10'!T99</f>
        <v>#VALUE!</v>
      </c>
      <c r="G4" s="22" t="e">
        <f>'AI-HE10'!U99</f>
        <v>#VALUE!</v>
      </c>
      <c r="H4" s="23" t="e">
        <f>'AI-HE10'!V99</f>
        <v>#VALUE!</v>
      </c>
    </row>
    <row r="5" spans="2:11" x14ac:dyDescent="0.2">
      <c r="B5" s="24" t="s">
        <v>7</v>
      </c>
      <c r="C5" s="44">
        <f>'AI-Main'!T100</f>
        <v>0</v>
      </c>
      <c r="D5" s="45">
        <f>'AI-Main'!U100</f>
        <v>0</v>
      </c>
      <c r="E5" s="46">
        <f>'AI-Main'!V100</f>
        <v>0</v>
      </c>
      <c r="F5" s="44" t="e">
        <f>'AI-HE10'!T100</f>
        <v>#VALUE!</v>
      </c>
      <c r="G5" s="45" t="e">
        <f>'AI-HE10'!U100</f>
        <v>#VALUE!</v>
      </c>
      <c r="H5" s="46" t="e">
        <f>'AI-HE10'!V100</f>
        <v>#VALUE!</v>
      </c>
    </row>
    <row r="6" spans="2:11" x14ac:dyDescent="0.2">
      <c r="B6" s="24" t="s">
        <v>14</v>
      </c>
      <c r="C6" s="44">
        <f>'AI-Main'!T101</f>
        <v>0</v>
      </c>
      <c r="D6" s="45">
        <f>'AI-Main'!U101</f>
        <v>0</v>
      </c>
      <c r="E6" s="46">
        <f>'AI-Main'!V101</f>
        <v>0</v>
      </c>
      <c r="F6" s="44" t="e">
        <f>'AI-HE10'!T101</f>
        <v>#VALUE!</v>
      </c>
      <c r="G6" s="45" t="e">
        <f>'AI-HE10'!U101</f>
        <v>#VALUE!</v>
      </c>
      <c r="H6" s="46" t="e">
        <f>'AI-HE10'!V101</f>
        <v>#VALUE!</v>
      </c>
    </row>
    <row r="7" spans="2:11" x14ac:dyDescent="0.2">
      <c r="B7" s="24" t="s">
        <v>20</v>
      </c>
      <c r="C7" s="44">
        <f>'AI-Main'!T102</f>
        <v>0</v>
      </c>
      <c r="D7" s="45">
        <f>'AI-Main'!U102</f>
        <v>0</v>
      </c>
      <c r="E7" s="46">
        <f>'AI-Main'!V102</f>
        <v>0</v>
      </c>
      <c r="F7" s="44" t="e">
        <f>'AI-HE10'!T102</f>
        <v>#VALUE!</v>
      </c>
      <c r="G7" s="45" t="e">
        <f>'AI-HE10'!U102</f>
        <v>#VALUE!</v>
      </c>
      <c r="H7" s="46" t="e">
        <f>'AI-HE10'!V102</f>
        <v>#VALUE!</v>
      </c>
    </row>
    <row r="8" spans="2:11" x14ac:dyDescent="0.2">
      <c r="B8" s="24" t="s">
        <v>27</v>
      </c>
      <c r="C8" s="44" t="e">
        <f>'AI-Main'!T103</f>
        <v>#VALUE!</v>
      </c>
      <c r="D8" s="45" t="e">
        <f>'AI-Main'!U103</f>
        <v>#VALUE!</v>
      </c>
      <c r="E8" s="46" t="e">
        <f>'AI-Main'!V103</f>
        <v>#VALUE!</v>
      </c>
      <c r="F8" s="44" t="e">
        <f>'AI-HE10'!T103</f>
        <v>#VALUE!</v>
      </c>
      <c r="G8" s="45" t="e">
        <f>'AI-HE10'!U103</f>
        <v>#VALUE!</v>
      </c>
      <c r="H8" s="46" t="e">
        <f>'AI-HE10'!V103</f>
        <v>#VALUE!</v>
      </c>
    </row>
    <row r="9" spans="2:11" ht="12.75" thickBot="1" x14ac:dyDescent="0.25">
      <c r="B9" s="24" t="s">
        <v>66</v>
      </c>
      <c r="C9" s="44">
        <f>'AI-Main'!T104</f>
        <v>0</v>
      </c>
      <c r="D9" s="45">
        <f>'AI-Main'!U104</f>
        <v>0</v>
      </c>
      <c r="E9" s="46">
        <f>'AI-Main'!V104</f>
        <v>0</v>
      </c>
      <c r="F9" s="44" t="e">
        <f>'AI-HE10'!T104</f>
        <v>#VALUE!</v>
      </c>
      <c r="G9" s="45" t="e">
        <f>'AI-HE10'!U104</f>
        <v>#VALUE!</v>
      </c>
      <c r="H9" s="46" t="e">
        <f>'AI-HE10'!V104</f>
        <v>#VALUE!</v>
      </c>
    </row>
    <row r="10" spans="2:11" x14ac:dyDescent="0.2">
      <c r="B10" s="62" t="s">
        <v>44</v>
      </c>
      <c r="C10" s="22">
        <f>'AI-Main'!T105</f>
        <v>0</v>
      </c>
      <c r="D10" s="22">
        <f>'AI-Main'!U105</f>
        <v>0</v>
      </c>
      <c r="E10" s="23">
        <f>'AI-Main'!V105</f>
        <v>0</v>
      </c>
      <c r="F10" s="22" t="e">
        <f>'AI-HE10'!T105</f>
        <v>#VALUE!</v>
      </c>
      <c r="G10" s="22" t="e">
        <f>'AI-HE10'!U105</f>
        <v>#VALUE!</v>
      </c>
      <c r="H10" s="23" t="e">
        <f>'AI-HE10'!V105</f>
        <v>#VALUE!</v>
      </c>
      <c r="J10" s="56" t="s">
        <v>49</v>
      </c>
    </row>
    <row r="11" spans="2:11" ht="12.75" thickBot="1" x14ac:dyDescent="0.25">
      <c r="B11" s="34"/>
      <c r="C11" s="60">
        <f>'AI-Main'!W105</f>
        <v>0</v>
      </c>
      <c r="D11" s="60">
        <f>'AI-Main'!X105</f>
        <v>0</v>
      </c>
      <c r="E11" s="61">
        <f>'AI-Main'!Y105</f>
        <v>0</v>
      </c>
      <c r="F11" s="60" t="e">
        <f>'AI-HE10'!W105</f>
        <v>#VALUE!</v>
      </c>
      <c r="G11" s="60" t="e">
        <f>'AI-HE10'!X105</f>
        <v>#VALUE!</v>
      </c>
      <c r="H11" s="61" t="e">
        <f>'AI-HE10'!Y105</f>
        <v>#VALUE!</v>
      </c>
      <c r="J11" s="1" t="s">
        <v>50</v>
      </c>
    </row>
    <row r="12" spans="2:11" x14ac:dyDescent="0.2">
      <c r="B12" s="24" t="s">
        <v>45</v>
      </c>
      <c r="C12" s="153">
        <f>'AI-Main'!R107</f>
        <v>0</v>
      </c>
      <c r="D12" s="154"/>
      <c r="E12" s="155"/>
      <c r="F12" s="153" t="e">
        <f>'AI-HE10'!R107</f>
        <v>#NUM!</v>
      </c>
      <c r="G12" s="154"/>
      <c r="H12" s="155"/>
    </row>
    <row r="13" spans="2:11" ht="12.75" thickBot="1" x14ac:dyDescent="0.25">
      <c r="B13" s="34" t="s">
        <v>46</v>
      </c>
      <c r="C13" s="156">
        <f>'AI-Main'!Q107</f>
        <v>0</v>
      </c>
      <c r="D13" s="157"/>
      <c r="E13" s="158"/>
      <c r="F13" s="156" t="e">
        <f>'AI-HE10'!Q107</f>
        <v>#NUM!</v>
      </c>
      <c r="G13" s="157"/>
      <c r="H13" s="158"/>
    </row>
    <row r="14" spans="2:11" ht="12.75" thickBot="1" x14ac:dyDescent="0.25"/>
    <row r="15" spans="2:11" x14ac:dyDescent="0.2">
      <c r="C15" s="159" t="s">
        <v>75</v>
      </c>
      <c r="D15" s="160"/>
      <c r="E15" s="161"/>
      <c r="F15" s="159" t="s">
        <v>79</v>
      </c>
      <c r="G15" s="160"/>
      <c r="H15" s="161"/>
    </row>
    <row r="16" spans="2:11" ht="12.75" thickBot="1" x14ac:dyDescent="0.25">
      <c r="C16" s="115" t="s">
        <v>41</v>
      </c>
      <c r="D16" s="9" t="s">
        <v>42</v>
      </c>
      <c r="E16" s="114" t="s">
        <v>43</v>
      </c>
      <c r="F16" s="115" t="s">
        <v>41</v>
      </c>
      <c r="G16" s="9" t="s">
        <v>42</v>
      </c>
      <c r="H16" s="114" t="s">
        <v>43</v>
      </c>
    </row>
    <row r="17" spans="2:8" x14ac:dyDescent="0.2">
      <c r="B17" s="13" t="s">
        <v>2</v>
      </c>
      <c r="C17" s="21" t="e">
        <f>'RA-Main'!T99</f>
        <v>#VALUE!</v>
      </c>
      <c r="D17" s="22" t="e">
        <f>'RA-Main'!U99</f>
        <v>#VALUE!</v>
      </c>
      <c r="E17" s="23" t="e">
        <f>'RA-Main'!V99</f>
        <v>#VALUE!</v>
      </c>
      <c r="F17" s="21" t="e">
        <f>'RA-HE10'!T99</f>
        <v>#VALUE!</v>
      </c>
      <c r="G17" s="22" t="e">
        <f>'RA-HE10'!U99</f>
        <v>#VALUE!</v>
      </c>
      <c r="H17" s="23" t="e">
        <f>'RA-HE10'!V99</f>
        <v>#VALUE!</v>
      </c>
    </row>
    <row r="18" spans="2:8" x14ac:dyDescent="0.2">
      <c r="B18" s="24" t="s">
        <v>7</v>
      </c>
      <c r="C18" s="44" t="e">
        <f>'RA-Main'!T100</f>
        <v>#VALUE!</v>
      </c>
      <c r="D18" s="45" t="e">
        <f>'RA-Main'!U100</f>
        <v>#VALUE!</v>
      </c>
      <c r="E18" s="46" t="e">
        <f>'RA-Main'!V100</f>
        <v>#VALUE!</v>
      </c>
      <c r="F18" s="44" t="e">
        <f>'RA-HE10'!T100</f>
        <v>#VALUE!</v>
      </c>
      <c r="G18" s="45" t="e">
        <f>'RA-HE10'!U100</f>
        <v>#VALUE!</v>
      </c>
      <c r="H18" s="46" t="e">
        <f>'RA-HE10'!V100</f>
        <v>#VALUE!</v>
      </c>
    </row>
    <row r="19" spans="2:8" x14ac:dyDescent="0.2">
      <c r="B19" s="24" t="s">
        <v>14</v>
      </c>
      <c r="C19" s="44" t="e">
        <f>'RA-Main'!T101</f>
        <v>#VALUE!</v>
      </c>
      <c r="D19" s="45" t="e">
        <f>'RA-Main'!U101</f>
        <v>#VALUE!</v>
      </c>
      <c r="E19" s="46" t="e">
        <f>'RA-Main'!V101</f>
        <v>#VALUE!</v>
      </c>
      <c r="F19" s="44" t="e">
        <f>'RA-HE10'!T101</f>
        <v>#VALUE!</v>
      </c>
      <c r="G19" s="45" t="e">
        <f>'RA-HE10'!U101</f>
        <v>#VALUE!</v>
      </c>
      <c r="H19" s="46" t="e">
        <f>'RA-HE10'!V101</f>
        <v>#VALUE!</v>
      </c>
    </row>
    <row r="20" spans="2:8" x14ac:dyDescent="0.2">
      <c r="B20" s="24" t="s">
        <v>20</v>
      </c>
      <c r="C20" s="44" t="e">
        <f>'RA-Main'!T102</f>
        <v>#VALUE!</v>
      </c>
      <c r="D20" s="45" t="e">
        <f>'RA-Main'!U102</f>
        <v>#VALUE!</v>
      </c>
      <c r="E20" s="46" t="e">
        <f>'RA-Main'!V102</f>
        <v>#VALUE!</v>
      </c>
      <c r="F20" s="44" t="e">
        <f>'RA-HE10'!T102</f>
        <v>#VALUE!</v>
      </c>
      <c r="G20" s="45" t="e">
        <f>'RA-HE10'!U102</f>
        <v>#VALUE!</v>
      </c>
      <c r="H20" s="46" t="e">
        <f>'RA-HE10'!V102</f>
        <v>#VALUE!</v>
      </c>
    </row>
    <row r="21" spans="2:8" x14ac:dyDescent="0.2">
      <c r="B21" s="24" t="s">
        <v>27</v>
      </c>
      <c r="C21" s="115"/>
      <c r="D21" s="9"/>
      <c r="E21" s="114"/>
      <c r="F21" s="115"/>
      <c r="G21" s="9"/>
      <c r="H21" s="114"/>
    </row>
    <row r="22" spans="2:8" ht="12.75" thickBot="1" x14ac:dyDescent="0.25">
      <c r="B22" s="34" t="s">
        <v>66</v>
      </c>
      <c r="C22" s="48" t="e">
        <f>'RA-Main'!T104</f>
        <v>#VALUE!</v>
      </c>
      <c r="D22" s="49" t="e">
        <f>'RA-Main'!U104</f>
        <v>#VALUE!</v>
      </c>
      <c r="E22" s="50" t="e">
        <f>'RA-Main'!V104</f>
        <v>#VALUE!</v>
      </c>
      <c r="F22" s="48" t="e">
        <f>'RA-HE10'!T104</f>
        <v>#VALUE!</v>
      </c>
      <c r="G22" s="49" t="e">
        <f>'RA-HE10'!U104</f>
        <v>#VALUE!</v>
      </c>
      <c r="H22" s="50" t="e">
        <f>'RA-HE10'!V104</f>
        <v>#VALUE!</v>
      </c>
    </row>
    <row r="23" spans="2:8" x14ac:dyDescent="0.2">
      <c r="B23" s="116" t="s">
        <v>44</v>
      </c>
      <c r="C23" s="45" t="e">
        <f>'RA-Main'!T105</f>
        <v>#VALUE!</v>
      </c>
      <c r="D23" s="45" t="e">
        <f>'RA-Main'!U105</f>
        <v>#VALUE!</v>
      </c>
      <c r="E23" s="46" t="e">
        <f>'RA-Main'!V105</f>
        <v>#VALUE!</v>
      </c>
      <c r="F23" s="45" t="e">
        <f>'RA-HE10'!T105</f>
        <v>#VALUE!</v>
      </c>
      <c r="G23" s="45" t="e">
        <f>'RA-HE10'!U105</f>
        <v>#VALUE!</v>
      </c>
      <c r="H23" s="46" t="e">
        <f>'RA-HE10'!V105</f>
        <v>#VALUE!</v>
      </c>
    </row>
    <row r="24" spans="2:8" ht="12.75" thickBot="1" x14ac:dyDescent="0.25">
      <c r="B24" s="34"/>
      <c r="C24" s="60" t="e">
        <f>'RA-Main'!W105</f>
        <v>#VALUE!</v>
      </c>
      <c r="D24" s="60" t="e">
        <f>'RA-Main'!X105</f>
        <v>#VALUE!</v>
      </c>
      <c r="E24" s="61" t="e">
        <f>'RA-Main'!Y105</f>
        <v>#VALUE!</v>
      </c>
      <c r="F24" s="60" t="e">
        <f>'RA-HE10'!W105</f>
        <v>#VALUE!</v>
      </c>
      <c r="G24" s="60" t="e">
        <f>'RA-HE10'!X105</f>
        <v>#VALUE!</v>
      </c>
      <c r="H24" s="61" t="e">
        <f>'RA-HE10'!Y105</f>
        <v>#VALUE!</v>
      </c>
    </row>
    <row r="25" spans="2:8" x14ac:dyDescent="0.2">
      <c r="B25" s="13" t="s">
        <v>45</v>
      </c>
      <c r="C25" s="153" t="e">
        <f>'RA-Main'!R107</f>
        <v>#NUM!</v>
      </c>
      <c r="D25" s="154"/>
      <c r="E25" s="155"/>
      <c r="F25" s="153" t="e">
        <f>'RA-HE10'!R107</f>
        <v>#NUM!</v>
      </c>
      <c r="G25" s="154"/>
      <c r="H25" s="155"/>
    </row>
    <row r="26" spans="2:8" ht="12.75" thickBot="1" x14ac:dyDescent="0.25">
      <c r="B26" s="34" t="s">
        <v>46</v>
      </c>
      <c r="C26" s="156" t="e">
        <f>'RA-Main'!Q107</f>
        <v>#NUM!</v>
      </c>
      <c r="D26" s="157"/>
      <c r="E26" s="158"/>
      <c r="F26" s="156" t="e">
        <f>'RA-HE10'!Q107</f>
        <v>#NUM!</v>
      </c>
      <c r="G26" s="157"/>
      <c r="H26" s="158"/>
    </row>
    <row r="27" spans="2:8" ht="12.75" thickBot="1" x14ac:dyDescent="0.25"/>
    <row r="28" spans="2:8" x14ac:dyDescent="0.2">
      <c r="C28" s="159" t="s">
        <v>76</v>
      </c>
      <c r="D28" s="160"/>
      <c r="E28" s="161"/>
      <c r="F28" s="159" t="s">
        <v>80</v>
      </c>
      <c r="G28" s="160"/>
      <c r="H28" s="161"/>
    </row>
    <row r="29" spans="2:8" ht="12.75" thickBot="1" x14ac:dyDescent="0.25">
      <c r="C29" s="115" t="s">
        <v>41</v>
      </c>
      <c r="D29" s="9" t="s">
        <v>42</v>
      </c>
      <c r="E29" s="114" t="s">
        <v>43</v>
      </c>
      <c r="F29" s="115" t="s">
        <v>41</v>
      </c>
      <c r="G29" s="9" t="s">
        <v>42</v>
      </c>
      <c r="H29" s="114" t="s">
        <v>43</v>
      </c>
    </row>
    <row r="30" spans="2:8" x14ac:dyDescent="0.2">
      <c r="B30" s="13" t="s">
        <v>2</v>
      </c>
      <c r="C30" s="10"/>
      <c r="D30" s="11"/>
      <c r="E30" s="12"/>
      <c r="F30" s="10"/>
      <c r="G30" s="11"/>
      <c r="H30" s="12"/>
    </row>
    <row r="31" spans="2:8" x14ac:dyDescent="0.2">
      <c r="B31" s="24" t="s">
        <v>7</v>
      </c>
      <c r="C31" s="44" t="e">
        <f>'LB-Main'!T100</f>
        <v>#VALUE!</v>
      </c>
      <c r="D31" s="45" t="e">
        <f>'LB-Main'!U100</f>
        <v>#VALUE!</v>
      </c>
      <c r="E31" s="46" t="e">
        <f>'LB-Main'!V100</f>
        <v>#VALUE!</v>
      </c>
      <c r="F31" s="44" t="e">
        <f>'LB-HE10'!T100</f>
        <v>#VALUE!</v>
      </c>
      <c r="G31" s="45" t="e">
        <f>'LB-HE10'!U100</f>
        <v>#VALUE!</v>
      </c>
      <c r="H31" s="46" t="e">
        <f>'LB-HE10'!V100</f>
        <v>#VALUE!</v>
      </c>
    </row>
    <row r="32" spans="2:8" x14ac:dyDescent="0.2">
      <c r="B32" s="24" t="s">
        <v>14</v>
      </c>
      <c r="C32" s="44" t="e">
        <f>'LB-Main'!T101</f>
        <v>#VALUE!</v>
      </c>
      <c r="D32" s="45" t="e">
        <f>'LB-Main'!U101</f>
        <v>#VALUE!</v>
      </c>
      <c r="E32" s="46" t="e">
        <f>'LB-Main'!V101</f>
        <v>#VALUE!</v>
      </c>
      <c r="F32" s="44" t="e">
        <f>'LB-HE10'!T101</f>
        <v>#VALUE!</v>
      </c>
      <c r="G32" s="45" t="e">
        <f>'LB-HE10'!U101</f>
        <v>#VALUE!</v>
      </c>
      <c r="H32" s="46" t="e">
        <f>'LB-HE10'!V101</f>
        <v>#VALUE!</v>
      </c>
    </row>
    <row r="33" spans="2:8" x14ac:dyDescent="0.2">
      <c r="B33" s="24" t="s">
        <v>20</v>
      </c>
      <c r="C33" s="44" t="e">
        <f>'LB-Main'!T102</f>
        <v>#VALUE!</v>
      </c>
      <c r="D33" s="45" t="e">
        <f>'LB-Main'!U102</f>
        <v>#VALUE!</v>
      </c>
      <c r="E33" s="46" t="e">
        <f>'LB-Main'!V102</f>
        <v>#VALUE!</v>
      </c>
      <c r="F33" s="44" t="e">
        <f>'LB-HE10'!T102</f>
        <v>#VALUE!</v>
      </c>
      <c r="G33" s="45" t="e">
        <f>'LB-HE10'!U102</f>
        <v>#VALUE!</v>
      </c>
      <c r="H33" s="46" t="e">
        <f>'LB-HE10'!V102</f>
        <v>#VALUE!</v>
      </c>
    </row>
    <row r="34" spans="2:8" x14ac:dyDescent="0.2">
      <c r="B34" s="24" t="s">
        <v>27</v>
      </c>
      <c r="C34" s="44" t="e">
        <f>'LB-Main'!T103</f>
        <v>#VALUE!</v>
      </c>
      <c r="D34" s="45" t="e">
        <f>'LB-Main'!U103</f>
        <v>#VALUE!</v>
      </c>
      <c r="E34" s="46" t="e">
        <f>'LB-Main'!V103</f>
        <v>#VALUE!</v>
      </c>
      <c r="F34" s="44" t="e">
        <f>'LB-HE10'!T103</f>
        <v>#VALUE!</v>
      </c>
      <c r="G34" s="45" t="e">
        <f>'LB-HE10'!U103</f>
        <v>#VALUE!</v>
      </c>
      <c r="H34" s="46" t="e">
        <f>'LB-HE10'!V103</f>
        <v>#VALUE!</v>
      </c>
    </row>
    <row r="35" spans="2:8" ht="12.75" thickBot="1" x14ac:dyDescent="0.25">
      <c r="B35" s="34" t="s">
        <v>66</v>
      </c>
      <c r="C35" s="48" t="e">
        <f>'LB-Main'!T104</f>
        <v>#VALUE!</v>
      </c>
      <c r="D35" s="49" t="e">
        <f>'LB-Main'!U104</f>
        <v>#VALUE!</v>
      </c>
      <c r="E35" s="50" t="e">
        <f>'LB-Main'!V104</f>
        <v>#VALUE!</v>
      </c>
      <c r="F35" s="48" t="e">
        <f>'LB-HE10'!T104</f>
        <v>#VALUE!</v>
      </c>
      <c r="G35" s="49" t="e">
        <f>'LB-HE10'!U104</f>
        <v>#VALUE!</v>
      </c>
      <c r="H35" s="50" t="e">
        <f>'LB-HE10'!V104</f>
        <v>#VALUE!</v>
      </c>
    </row>
    <row r="36" spans="2:8" x14ac:dyDescent="0.2">
      <c r="B36" s="116" t="s">
        <v>44</v>
      </c>
      <c r="C36" s="45" t="e">
        <f>'LB-Main'!T105</f>
        <v>#VALUE!</v>
      </c>
      <c r="D36" s="45" t="e">
        <f>'LB-Main'!U105</f>
        <v>#VALUE!</v>
      </c>
      <c r="E36" s="46" t="e">
        <f>'LB-Main'!V105</f>
        <v>#VALUE!</v>
      </c>
      <c r="F36" s="45" t="e">
        <f>'LB-HE10'!T105</f>
        <v>#VALUE!</v>
      </c>
      <c r="G36" s="45" t="e">
        <f>'LB-HE10'!U105</f>
        <v>#VALUE!</v>
      </c>
      <c r="H36" s="46" t="e">
        <f>'LB-HE10'!V105</f>
        <v>#VALUE!</v>
      </c>
    </row>
    <row r="37" spans="2:8" ht="12.75" thickBot="1" x14ac:dyDescent="0.25">
      <c r="B37" s="34"/>
      <c r="C37" s="60" t="e">
        <f>'LB-Main'!W105</f>
        <v>#VALUE!</v>
      </c>
      <c r="D37" s="60" t="e">
        <f>'LB-Main'!X105</f>
        <v>#VALUE!</v>
      </c>
      <c r="E37" s="61" t="e">
        <f>'LB-Main'!Y105</f>
        <v>#VALUE!</v>
      </c>
      <c r="F37" s="60" t="e">
        <f>'LB-HE10'!W105</f>
        <v>#VALUE!</v>
      </c>
      <c r="G37" s="60" t="e">
        <f>'LB-HE10'!X105</f>
        <v>#VALUE!</v>
      </c>
      <c r="H37" s="61" t="e">
        <f>'LB-HE10'!Y105</f>
        <v>#VALUE!</v>
      </c>
    </row>
    <row r="38" spans="2:8" x14ac:dyDescent="0.2">
      <c r="B38" s="13" t="s">
        <v>45</v>
      </c>
      <c r="C38" s="153" t="e">
        <f>'LB-Main'!R107</f>
        <v>#NUM!</v>
      </c>
      <c r="D38" s="154"/>
      <c r="E38" s="155"/>
      <c r="F38" s="153" t="e">
        <f>'LB-HE10'!R107</f>
        <v>#NUM!</v>
      </c>
      <c r="G38" s="154"/>
      <c r="H38" s="155"/>
    </row>
    <row r="39" spans="2:8" ht="12.75" thickBot="1" x14ac:dyDescent="0.25">
      <c r="B39" s="34" t="s">
        <v>46</v>
      </c>
      <c r="C39" s="156" t="e">
        <f>'LB-Main'!Q107</f>
        <v>#NUM!</v>
      </c>
      <c r="D39" s="157"/>
      <c r="E39" s="158"/>
      <c r="F39" s="156" t="e">
        <f>'LB-HE10'!Q107</f>
        <v>#NUM!</v>
      </c>
      <c r="G39" s="157"/>
      <c r="H39" s="158"/>
    </row>
    <row r="40" spans="2:8" ht="12.75" thickBot="1" x14ac:dyDescent="0.25"/>
    <row r="41" spans="2:8" x14ac:dyDescent="0.2">
      <c r="C41" s="159" t="s">
        <v>77</v>
      </c>
      <c r="D41" s="160"/>
      <c r="E41" s="161"/>
      <c r="F41" s="159" t="s">
        <v>81</v>
      </c>
      <c r="G41" s="160"/>
      <c r="H41" s="161"/>
    </row>
    <row r="42" spans="2:8" ht="12.75" thickBot="1" x14ac:dyDescent="0.25">
      <c r="C42" s="115" t="s">
        <v>41</v>
      </c>
      <c r="D42" s="9" t="s">
        <v>42</v>
      </c>
      <c r="E42" s="114" t="s">
        <v>43</v>
      </c>
      <c r="F42" s="115" t="s">
        <v>41</v>
      </c>
      <c r="G42" s="9" t="s">
        <v>42</v>
      </c>
      <c r="H42" s="114" t="s">
        <v>43</v>
      </c>
    </row>
    <row r="43" spans="2:8" x14ac:dyDescent="0.2">
      <c r="B43" s="13" t="s">
        <v>2</v>
      </c>
      <c r="C43" s="10"/>
      <c r="D43" s="11"/>
      <c r="E43" s="12"/>
      <c r="F43" s="10"/>
      <c r="G43" s="11"/>
      <c r="H43" s="12"/>
    </row>
    <row r="44" spans="2:8" x14ac:dyDescent="0.2">
      <c r="B44" s="24" t="s">
        <v>7</v>
      </c>
      <c r="C44" s="44" t="e">
        <f>'LP-Main'!T100</f>
        <v>#VALUE!</v>
      </c>
      <c r="D44" s="45" t="e">
        <f>'LP-Main'!U100</f>
        <v>#VALUE!</v>
      </c>
      <c r="E44" s="46" t="e">
        <f>'LP-Main'!V100</f>
        <v>#VALUE!</v>
      </c>
      <c r="F44" s="44" t="e">
        <f>'LP-HE10'!T100</f>
        <v>#VALUE!</v>
      </c>
      <c r="G44" s="45" t="e">
        <f>'LP-HE10'!U100</f>
        <v>#VALUE!</v>
      </c>
      <c r="H44" s="46" t="e">
        <f>'LP-HE10'!V100</f>
        <v>#VALUE!</v>
      </c>
    </row>
    <row r="45" spans="2:8" x14ac:dyDescent="0.2">
      <c r="B45" s="24" t="s">
        <v>14</v>
      </c>
      <c r="C45" s="44" t="e">
        <f>'LP-Main'!T101</f>
        <v>#VALUE!</v>
      </c>
      <c r="D45" s="45" t="e">
        <f>'LP-Main'!U101</f>
        <v>#VALUE!</v>
      </c>
      <c r="E45" s="46" t="e">
        <f>'LP-Main'!V101</f>
        <v>#VALUE!</v>
      </c>
      <c r="F45" s="44" t="e">
        <f>'LP-HE10'!T101</f>
        <v>#VALUE!</v>
      </c>
      <c r="G45" s="45" t="e">
        <f>'LP-HE10'!U101</f>
        <v>#VALUE!</v>
      </c>
      <c r="H45" s="46" t="e">
        <f>'LP-HE10'!V101</f>
        <v>#VALUE!</v>
      </c>
    </row>
    <row r="46" spans="2:8" x14ac:dyDescent="0.2">
      <c r="B46" s="24" t="s">
        <v>20</v>
      </c>
      <c r="C46" s="44" t="e">
        <f>'LP-Main'!T102</f>
        <v>#VALUE!</v>
      </c>
      <c r="D46" s="45" t="e">
        <f>'LP-Main'!U102</f>
        <v>#VALUE!</v>
      </c>
      <c r="E46" s="46" t="e">
        <f>'LP-Main'!V102</f>
        <v>#VALUE!</v>
      </c>
      <c r="F46" s="44" t="e">
        <f>'LP-HE10'!T102</f>
        <v>#VALUE!</v>
      </c>
      <c r="G46" s="45" t="e">
        <f>'LP-HE10'!U102</f>
        <v>#VALUE!</v>
      </c>
      <c r="H46" s="46" t="e">
        <f>'LP-HE10'!V102</f>
        <v>#VALUE!</v>
      </c>
    </row>
    <row r="47" spans="2:8" x14ac:dyDescent="0.2">
      <c r="B47" s="24" t="s">
        <v>27</v>
      </c>
      <c r="C47" s="44" t="e">
        <f>'LP-Main'!T103</f>
        <v>#VALUE!</v>
      </c>
      <c r="D47" s="45" t="e">
        <f>'LP-Main'!U103</f>
        <v>#VALUE!</v>
      </c>
      <c r="E47" s="46" t="e">
        <f>'LP-Main'!V103</f>
        <v>#VALUE!</v>
      </c>
      <c r="F47" s="44" t="e">
        <f>'LP-HE10'!T103</f>
        <v>#VALUE!</v>
      </c>
      <c r="G47" s="45" t="e">
        <f>'LP-HE10'!U103</f>
        <v>#VALUE!</v>
      </c>
      <c r="H47" s="46" t="e">
        <f>'LP-HE10'!V103</f>
        <v>#VALUE!</v>
      </c>
    </row>
    <row r="48" spans="2:8" ht="12.75" thickBot="1" x14ac:dyDescent="0.25">
      <c r="B48" s="34" t="s">
        <v>66</v>
      </c>
      <c r="C48" s="48" t="e">
        <f>'LP-Main'!T104</f>
        <v>#VALUE!</v>
      </c>
      <c r="D48" s="49" t="e">
        <f>'LP-Main'!U104</f>
        <v>#VALUE!</v>
      </c>
      <c r="E48" s="50" t="e">
        <f>'LP-Main'!V104</f>
        <v>#VALUE!</v>
      </c>
      <c r="F48" s="48" t="e">
        <f>'LP-HE10'!T104</f>
        <v>#VALUE!</v>
      </c>
      <c r="G48" s="49" t="e">
        <f>'LP-HE10'!U104</f>
        <v>#VALUE!</v>
      </c>
      <c r="H48" s="50" t="e">
        <f>'LP-HE10'!V104</f>
        <v>#VALUE!</v>
      </c>
    </row>
    <row r="49" spans="2:8" x14ac:dyDescent="0.2">
      <c r="B49" s="116" t="s">
        <v>44</v>
      </c>
      <c r="C49" s="45" t="e">
        <f>'LP-Main'!T105</f>
        <v>#VALUE!</v>
      </c>
      <c r="D49" s="45" t="e">
        <f>'LP-Main'!U105</f>
        <v>#VALUE!</v>
      </c>
      <c r="E49" s="46" t="e">
        <f>'LP-Main'!V105</f>
        <v>#VALUE!</v>
      </c>
      <c r="F49" s="45" t="e">
        <f>'LP-HE10'!T105</f>
        <v>#VALUE!</v>
      </c>
      <c r="G49" s="45" t="e">
        <f>'LP-HE10'!U105</f>
        <v>#VALUE!</v>
      </c>
      <c r="H49" s="46" t="e">
        <f>'LP-HE10'!V105</f>
        <v>#VALUE!</v>
      </c>
    </row>
    <row r="50" spans="2:8" ht="12.75" thickBot="1" x14ac:dyDescent="0.25">
      <c r="B50" s="34"/>
      <c r="C50" s="60" t="e">
        <f>'LP-Main'!W105</f>
        <v>#VALUE!</v>
      </c>
      <c r="D50" s="60" t="e">
        <f>'LP-Main'!X105</f>
        <v>#VALUE!</v>
      </c>
      <c r="E50" s="61" t="e">
        <f>'LP-Main'!Y105</f>
        <v>#VALUE!</v>
      </c>
      <c r="F50" s="60" t="e">
        <f>'LP-HE10'!W105</f>
        <v>#VALUE!</v>
      </c>
      <c r="G50" s="60" t="e">
        <f>'LP-HE10'!X105</f>
        <v>#VALUE!</v>
      </c>
      <c r="H50" s="61" t="e">
        <f>'LP-HE10'!Y105</f>
        <v>#VALUE!</v>
      </c>
    </row>
    <row r="51" spans="2:8" x14ac:dyDescent="0.2">
      <c r="B51" s="13" t="s">
        <v>45</v>
      </c>
      <c r="C51" s="153" t="e">
        <f>'LP-Main'!R107</f>
        <v>#NUM!</v>
      </c>
      <c r="D51" s="154"/>
      <c r="E51" s="155"/>
      <c r="F51" s="153" t="e">
        <f>'LP-HE10'!R107</f>
        <v>#NUM!</v>
      </c>
      <c r="G51" s="154"/>
      <c r="H51" s="155"/>
    </row>
    <row r="52" spans="2:8" ht="12.75" thickBot="1" x14ac:dyDescent="0.25">
      <c r="B52" s="34" t="s">
        <v>46</v>
      </c>
      <c r="C52" s="156" t="e">
        <f>'LP-Main'!Q107</f>
        <v>#NUM!</v>
      </c>
      <c r="D52" s="157"/>
      <c r="E52" s="158"/>
      <c r="F52" s="156" t="e">
        <f>'LP-HE10'!Q107</f>
        <v>#NUM!</v>
      </c>
      <c r="G52" s="157"/>
      <c r="H52" s="158"/>
    </row>
  </sheetData>
  <mergeCells count="24">
    <mergeCell ref="C41:E41"/>
    <mergeCell ref="F41:H41"/>
    <mergeCell ref="C51:E51"/>
    <mergeCell ref="F51:H51"/>
    <mergeCell ref="C52:E52"/>
    <mergeCell ref="F52:H52"/>
    <mergeCell ref="C28:E28"/>
    <mergeCell ref="F28:H28"/>
    <mergeCell ref="C38:E38"/>
    <mergeCell ref="F38:H38"/>
    <mergeCell ref="C39:E39"/>
    <mergeCell ref="F39:H39"/>
    <mergeCell ref="C15:E15"/>
    <mergeCell ref="F15:H15"/>
    <mergeCell ref="C25:E25"/>
    <mergeCell ref="F25:H25"/>
    <mergeCell ref="C26:E26"/>
    <mergeCell ref="F26:H26"/>
    <mergeCell ref="C2:E2"/>
    <mergeCell ref="F2:H2"/>
    <mergeCell ref="C12:E12"/>
    <mergeCell ref="F12:H12"/>
    <mergeCell ref="C13:E13"/>
    <mergeCell ref="F13:H13"/>
  </mergeCells>
  <phoneticPr fontId="2" type="noConversion"/>
  <conditionalFormatting sqref="C17:H21 C30:H34 C43:H47 C4:H8 C10:H10">
    <cfRule type="cellIs" dxfId="2487" priority="31" stopIfTrue="1" operator="greaterThan">
      <formula>0.03</formula>
    </cfRule>
    <cfRule type="cellIs" dxfId="2486" priority="32" stopIfTrue="1" operator="lessThan">
      <formula>-0.03</formula>
    </cfRule>
  </conditionalFormatting>
  <conditionalFormatting sqref="C23:H23">
    <cfRule type="cellIs" dxfId="2485" priority="29" stopIfTrue="1" operator="greaterThan">
      <formula>0.03</formula>
    </cfRule>
    <cfRule type="cellIs" dxfId="2484" priority="30" stopIfTrue="1" operator="lessThan">
      <formula>-0.03</formula>
    </cfRule>
  </conditionalFormatting>
  <conditionalFormatting sqref="C36:H36">
    <cfRule type="cellIs" dxfId="2483" priority="27" stopIfTrue="1" operator="greaterThan">
      <formula>0.03</formula>
    </cfRule>
    <cfRule type="cellIs" dxfId="2482" priority="28" stopIfTrue="1" operator="lessThan">
      <formula>-0.03</formula>
    </cfRule>
  </conditionalFormatting>
  <conditionalFormatting sqref="C49:H49">
    <cfRule type="cellIs" dxfId="2481" priority="25" stopIfTrue="1" operator="greaterThan">
      <formula>0.03</formula>
    </cfRule>
    <cfRule type="cellIs" dxfId="2480" priority="26" stopIfTrue="1" operator="lessThan">
      <formula>-0.03</formula>
    </cfRule>
  </conditionalFormatting>
  <conditionalFormatting sqref="C9:H9">
    <cfRule type="cellIs" dxfId="2479" priority="23" stopIfTrue="1" operator="greaterThan">
      <formula>0.03</formula>
    </cfRule>
    <cfRule type="cellIs" dxfId="2478" priority="24" stopIfTrue="1" operator="lessThan">
      <formula>-0.03</formula>
    </cfRule>
  </conditionalFormatting>
  <conditionalFormatting sqref="C22:H22">
    <cfRule type="cellIs" dxfId="2477" priority="21" stopIfTrue="1" operator="greaterThan">
      <formula>0.03</formula>
    </cfRule>
    <cfRule type="cellIs" dxfId="2476" priority="22" stopIfTrue="1" operator="lessThan">
      <formula>-0.03</formula>
    </cfRule>
  </conditionalFormatting>
  <conditionalFormatting sqref="C35:H35">
    <cfRule type="cellIs" dxfId="2475" priority="19" stopIfTrue="1" operator="greaterThan">
      <formula>0.03</formula>
    </cfRule>
    <cfRule type="cellIs" dxfId="2474" priority="20" stopIfTrue="1" operator="lessThan">
      <formula>-0.03</formula>
    </cfRule>
  </conditionalFormatting>
  <conditionalFormatting sqref="C48:H48">
    <cfRule type="cellIs" dxfId="2473" priority="17" stopIfTrue="1" operator="greaterThan">
      <formula>0.03</formula>
    </cfRule>
    <cfRule type="cellIs" dxfId="2472" priority="18" stopIfTrue="1" operator="lessThan">
      <formula>-0.03</formula>
    </cfRule>
  </conditionalFormatting>
  <pageMargins left="0.75" right="0.75" top="1" bottom="1" header="0.5" footer="0.5"/>
  <pageSetup paperSize="9" orientation="portrait" horizontalDpi="4294967292" verticalDpi="4294967292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L86"/>
  <sheetViews>
    <sheetView workbookViewId="0">
      <selection activeCell="I2" sqref="I2:I4"/>
    </sheetView>
  </sheetViews>
  <sheetFormatPr defaultColWidth="8.77734375" defaultRowHeight="17.25" x14ac:dyDescent="0.3"/>
  <cols>
    <col min="2" max="2" width="21.33203125" customWidth="1"/>
    <col min="25" max="26" width="9" customWidth="1"/>
    <col min="27" max="27" width="9" style="110" customWidth="1"/>
    <col min="28" max="39" width="9" customWidth="1"/>
  </cols>
  <sheetData>
    <row r="1" spans="1:38" ht="18" thickBot="1" x14ac:dyDescent="0.35">
      <c r="A1" t="s">
        <v>55</v>
      </c>
      <c r="AD1" t="s">
        <v>53</v>
      </c>
      <c r="AI1" t="s">
        <v>54</v>
      </c>
    </row>
    <row r="2" spans="1:38" ht="18" thickBot="1" x14ac:dyDescent="0.35">
      <c r="A2" s="109" t="s">
        <v>83</v>
      </c>
      <c r="B2" s="109" t="s">
        <v>0</v>
      </c>
      <c r="AD2" s="6" t="s">
        <v>34</v>
      </c>
      <c r="AE2" s="7" t="s">
        <v>35</v>
      </c>
      <c r="AF2" s="7" t="s">
        <v>36</v>
      </c>
      <c r="AG2" s="7" t="s">
        <v>37</v>
      </c>
      <c r="AI2" s="6" t="s">
        <v>34</v>
      </c>
      <c r="AJ2" s="7" t="s">
        <v>35</v>
      </c>
      <c r="AK2" s="7" t="s">
        <v>36</v>
      </c>
      <c r="AL2" s="7" t="s">
        <v>37</v>
      </c>
    </row>
    <row r="3" spans="1:38" x14ac:dyDescent="0.3">
      <c r="Z3" t="s">
        <v>82</v>
      </c>
      <c r="AA3" s="32" t="s">
        <v>15</v>
      </c>
      <c r="AB3">
        <v>39</v>
      </c>
      <c r="AC3">
        <f>VLOOKUP(B2,AA3:AB26,2,FALSE)</f>
        <v>11</v>
      </c>
      <c r="AD3">
        <f ca="1">INDIRECT("'"&amp;$A$2&amp;"'!"&amp;ADDRESS($AC3,4))</f>
        <v>3623.6352000000002</v>
      </c>
      <c r="AE3">
        <f ca="1">INDIRECT("'"&amp;$A$2&amp;"'!"&amp;ADDRESS($AC3,5))</f>
        <v>43.885019999999997</v>
      </c>
      <c r="AF3">
        <f ca="1">INDIRECT("'"&amp;$A$2&amp;"'!"&amp;ADDRESS($AC3,6))</f>
        <v>44.572904000000001</v>
      </c>
      <c r="AG3">
        <f ca="1">INDIRECT("'"&amp;$A$2&amp;"'!"&amp;ADDRESS($AC3,7))</f>
        <v>44.104236999999998</v>
      </c>
      <c r="AI3">
        <f ca="1">INDIRECT("'"&amp;$A$2&amp;"'!"&amp;ADDRESS($AC3,12))</f>
        <v>3807.7031999999999</v>
      </c>
      <c r="AJ3">
        <f ca="1">INDIRECT("'"&amp;$A$2&amp;"'!"&amp;ADDRESS($AC3,13))</f>
        <v>43.747928999999999</v>
      </c>
      <c r="AK3">
        <f ca="1">INDIRECT("'"&amp;$A$2&amp;"'!"&amp;ADDRESS($AC3,14))</f>
        <v>44.495123999999997</v>
      </c>
      <c r="AL3">
        <f ca="1">INDIRECT("'"&amp;$A$2&amp;"'!"&amp;ADDRESS($AC3,15))</f>
        <v>44.002105999999998</v>
      </c>
    </row>
    <row r="4" spans="1:38" x14ac:dyDescent="0.3">
      <c r="Z4" t="s">
        <v>67</v>
      </c>
      <c r="AA4" s="32" t="s">
        <v>62</v>
      </c>
      <c r="AB4">
        <v>83</v>
      </c>
      <c r="AC4">
        <f>AC3+1</f>
        <v>12</v>
      </c>
      <c r="AD4">
        <f ca="1">INDIRECT("'"&amp;$A$2&amp;"'!"&amp;ADDRESS($AC4,4))</f>
        <v>1435.6056000000001</v>
      </c>
      <c r="AE4">
        <f ca="1">INDIRECT("'"&amp;$A$2&amp;"'!"&amp;ADDRESS($AC4,5))</f>
        <v>41.079810999999999</v>
      </c>
      <c r="AF4">
        <f ca="1">INDIRECT("'"&amp;$A$2&amp;"'!"&amp;ADDRESS($AC4,6))</f>
        <v>42.407150000000001</v>
      </c>
      <c r="AG4">
        <f ca="1">INDIRECT("'"&amp;$A$2&amp;"'!"&amp;ADDRESS($AC4,7))</f>
        <v>41.883803999999998</v>
      </c>
      <c r="AI4">
        <f ca="1">INDIRECT("'"&amp;$A$2&amp;"'!"&amp;ADDRESS($AC4,12))</f>
        <v>1478.6112000000001</v>
      </c>
      <c r="AJ4">
        <f ca="1">INDIRECT("'"&amp;$A$2&amp;"'!"&amp;ADDRESS($AC4,13))</f>
        <v>40.925694</v>
      </c>
      <c r="AK4">
        <f ca="1">INDIRECT("'"&amp;$A$2&amp;"'!"&amp;ADDRESS($AC4,14))</f>
        <v>42.363152999999997</v>
      </c>
      <c r="AL4">
        <f ca="1">INDIRECT("'"&amp;$A$2&amp;"'!"&amp;ADDRESS($AC4,15))</f>
        <v>41.822096999999999</v>
      </c>
    </row>
    <row r="5" spans="1:38" x14ac:dyDescent="0.3">
      <c r="Z5" t="s">
        <v>83</v>
      </c>
      <c r="AA5" s="32" t="s">
        <v>12</v>
      </c>
      <c r="AB5">
        <v>31</v>
      </c>
      <c r="AC5">
        <f>AC4+1</f>
        <v>13</v>
      </c>
      <c r="AD5">
        <f ca="1">INDIRECT("'"&amp;$A$2&amp;"'!"&amp;ADDRESS($AC5,4))</f>
        <v>651.46320000000003</v>
      </c>
      <c r="AE5">
        <f ca="1">INDIRECT("'"&amp;$A$2&amp;"'!"&amp;ADDRESS($AC5,5))</f>
        <v>38.411698000000001</v>
      </c>
      <c r="AF5">
        <f ca="1">INDIRECT("'"&amp;$A$2&amp;"'!"&amp;ADDRESS($AC5,6))</f>
        <v>40.657561000000001</v>
      </c>
      <c r="AG5">
        <f ca="1">INDIRECT("'"&amp;$A$2&amp;"'!"&amp;ADDRESS($AC5,7))</f>
        <v>40.155127</v>
      </c>
      <c r="AI5">
        <f ca="1">INDIRECT("'"&amp;$A$2&amp;"'!"&amp;ADDRESS($AC5,12))</f>
        <v>663.46079999999995</v>
      </c>
      <c r="AJ5">
        <f ca="1">INDIRECT("'"&amp;$A$2&amp;"'!"&amp;ADDRESS($AC5,13))</f>
        <v>38.266008999999997</v>
      </c>
      <c r="AK5">
        <f ca="1">INDIRECT("'"&amp;$A$2&amp;"'!"&amp;ADDRESS($AC5,14))</f>
        <v>40.636197000000003</v>
      </c>
      <c r="AL5">
        <f ca="1">INDIRECT("'"&amp;$A$2&amp;"'!"&amp;ADDRESS($AC5,15))</f>
        <v>40.108117</v>
      </c>
    </row>
    <row r="6" spans="1:38" x14ac:dyDescent="0.3">
      <c r="Z6" t="s">
        <v>68</v>
      </c>
      <c r="AA6" s="32" t="s">
        <v>21</v>
      </c>
      <c r="AB6">
        <v>55</v>
      </c>
      <c r="AC6">
        <f>AC5+1</f>
        <v>14</v>
      </c>
      <c r="AD6">
        <f ca="1">INDIRECT("'"&amp;$A$2&amp;"'!"&amp;ADDRESS($AC6,4))</f>
        <v>328.44959999999998</v>
      </c>
      <c r="AE6">
        <f ca="1">INDIRECT("'"&amp;$A$2&amp;"'!"&amp;ADDRESS($AC6,5))</f>
        <v>35.796441999999999</v>
      </c>
      <c r="AF6">
        <f ca="1">INDIRECT("'"&amp;$A$2&amp;"'!"&amp;ADDRESS($AC6,6))</f>
        <v>39.477668999999999</v>
      </c>
      <c r="AG6">
        <f ca="1">INDIRECT("'"&amp;$A$2&amp;"'!"&amp;ADDRESS($AC6,7))</f>
        <v>38.924812000000003</v>
      </c>
      <c r="AI6">
        <f ca="1">INDIRECT("'"&amp;$A$2&amp;"'!"&amp;ADDRESS($AC6,12))</f>
        <v>331.01280000000003</v>
      </c>
      <c r="AJ6">
        <f ca="1">INDIRECT("'"&amp;$A$2&amp;"'!"&amp;ADDRESS($AC6,13))</f>
        <v>35.711056999999997</v>
      </c>
      <c r="AK6">
        <f ca="1">INDIRECT("'"&amp;$A$2&amp;"'!"&amp;ADDRESS($AC6,14))</f>
        <v>39.444651</v>
      </c>
      <c r="AL6">
        <f ca="1">INDIRECT("'"&amp;$A$2&amp;"'!"&amp;ADDRESS($AC6,15))</f>
        <v>38.884304</v>
      </c>
    </row>
    <row r="7" spans="1:38" x14ac:dyDescent="0.3">
      <c r="Z7" t="s">
        <v>84</v>
      </c>
      <c r="AA7" s="32" t="s">
        <v>24</v>
      </c>
      <c r="AB7">
        <v>63</v>
      </c>
    </row>
    <row r="8" spans="1:38" x14ac:dyDescent="0.3">
      <c r="Z8" t="s">
        <v>69</v>
      </c>
      <c r="AA8" s="32" t="s">
        <v>17</v>
      </c>
      <c r="AB8">
        <v>43</v>
      </c>
      <c r="AD8" t="str">
        <f>"Sequence: "&amp;B2 &amp; "     Coding Conditions: " &amp; A2</f>
        <v>Sequence: Nebuta     Coding Conditions: RA-Main</v>
      </c>
    </row>
    <row r="9" spans="1:38" x14ac:dyDescent="0.3">
      <c r="Z9" t="s">
        <v>85</v>
      </c>
      <c r="AA9" s="32" t="s">
        <v>23</v>
      </c>
      <c r="AB9">
        <v>59</v>
      </c>
    </row>
    <row r="10" spans="1:38" x14ac:dyDescent="0.3">
      <c r="Z10" t="s">
        <v>70</v>
      </c>
      <c r="AA10" s="32" t="s">
        <v>13</v>
      </c>
      <c r="AB10">
        <v>35</v>
      </c>
    </row>
    <row r="11" spans="1:38" x14ac:dyDescent="0.3">
      <c r="AA11" s="32" t="s">
        <v>11</v>
      </c>
      <c r="AB11">
        <v>27</v>
      </c>
      <c r="AD11" t="s">
        <v>57</v>
      </c>
      <c r="AE11" t="s">
        <v>58</v>
      </c>
      <c r="AF11" t="s">
        <v>59</v>
      </c>
      <c r="AG11" t="s">
        <v>60</v>
      </c>
    </row>
    <row r="12" spans="1:38" x14ac:dyDescent="0.3">
      <c r="AA12" s="32" t="s">
        <v>63</v>
      </c>
      <c r="AB12">
        <v>87</v>
      </c>
      <c r="AD12" s="111">
        <f ca="1">MAX(AD3:AD6,AI3:AI6)</f>
        <v>3807.7031999999999</v>
      </c>
      <c r="AE12" s="111">
        <f ca="1">MAX(AE3:AE6,AJ3:AJ6)</f>
        <v>43.885019999999997</v>
      </c>
      <c r="AF12" s="111">
        <f ca="1">MAX(AF3:AF6,AK3:AK6)</f>
        <v>44.572904000000001</v>
      </c>
      <c r="AG12" s="111">
        <f ca="1">MAX(AG3:AG6,AL3:AL6)</f>
        <v>44.104236999999998</v>
      </c>
    </row>
    <row r="13" spans="1:38" x14ac:dyDescent="0.3">
      <c r="AA13" s="32" t="s">
        <v>8</v>
      </c>
      <c r="AB13">
        <v>19</v>
      </c>
      <c r="AD13" s="111">
        <f ca="1">MIN(AD3:AD6,AI3:AI6)</f>
        <v>328.44959999999998</v>
      </c>
      <c r="AE13" s="111">
        <f ca="1">MIN(AE3:AE6,AJ3:AJ6)</f>
        <v>35.711056999999997</v>
      </c>
      <c r="AF13" s="111">
        <f ca="1">MIN(AF3:AF6,AK3:AK6)</f>
        <v>39.444651</v>
      </c>
      <c r="AG13" s="111">
        <f ca="1">MIN(AG3:AG6,AL3:AL6)</f>
        <v>38.884304</v>
      </c>
    </row>
    <row r="14" spans="1:38" x14ac:dyDescent="0.3">
      <c r="AA14" s="32" t="s">
        <v>0</v>
      </c>
      <c r="AB14">
        <v>11</v>
      </c>
      <c r="AD14" s="112"/>
      <c r="AE14" s="112"/>
      <c r="AF14" s="112"/>
      <c r="AG14" s="112"/>
    </row>
    <row r="15" spans="1:38" x14ac:dyDescent="0.3">
      <c r="AA15" s="32" t="s">
        <v>10</v>
      </c>
      <c r="AB15">
        <v>23</v>
      </c>
      <c r="AD15" s="112">
        <f ca="1">POWER(10,CEILING(LOG(AD12+1),1))</f>
        <v>10000</v>
      </c>
      <c r="AE15" s="113">
        <f ca="1">CEILING(AE12+0.25,0.5)</f>
        <v>44.5</v>
      </c>
      <c r="AF15" s="113">
        <f ca="1">CEILING(AF12+0.25,0.5)</f>
        <v>45</v>
      </c>
      <c r="AG15" s="113">
        <f ca="1">CEILING(AG12+0.25,0.5)</f>
        <v>44.5</v>
      </c>
    </row>
    <row r="16" spans="1:38" x14ac:dyDescent="0.3">
      <c r="AA16" s="32" t="s">
        <v>18</v>
      </c>
      <c r="AB16">
        <v>47</v>
      </c>
      <c r="AD16" s="112">
        <f ca="1">POWER(10,FLOOR(LOG(AD13+10),1))</f>
        <v>100</v>
      </c>
      <c r="AE16" s="113">
        <f ca="1">FLOOR(AE13-0.25,0.5)</f>
        <v>35</v>
      </c>
      <c r="AF16" s="113">
        <f ca="1">FLOOR(AF13-0.25,0.5)</f>
        <v>39</v>
      </c>
      <c r="AG16" s="113">
        <f ca="1">FLOOR(AG13-0.25,0.5)</f>
        <v>38.5</v>
      </c>
    </row>
    <row r="17" spans="27:28" x14ac:dyDescent="0.3">
      <c r="AA17" s="32" t="s">
        <v>5</v>
      </c>
      <c r="AB17">
        <v>7</v>
      </c>
    </row>
    <row r="18" spans="27:28" x14ac:dyDescent="0.3">
      <c r="AA18" s="32" t="s">
        <v>56</v>
      </c>
      <c r="AB18">
        <v>51</v>
      </c>
    </row>
    <row r="19" spans="27:28" x14ac:dyDescent="0.3">
      <c r="AA19" s="32" t="s">
        <v>19</v>
      </c>
      <c r="AB19">
        <v>67</v>
      </c>
    </row>
    <row r="20" spans="27:28" x14ac:dyDescent="0.3">
      <c r="AA20" s="32" t="s">
        <v>64</v>
      </c>
      <c r="AB20">
        <v>91</v>
      </c>
    </row>
    <row r="21" spans="27:28" x14ac:dyDescent="0.3">
      <c r="AA21" s="32" t="s">
        <v>65</v>
      </c>
      <c r="AB21">
        <v>95</v>
      </c>
    </row>
    <row r="22" spans="27:28" x14ac:dyDescent="0.3">
      <c r="AA22" s="32" t="s">
        <v>6</v>
      </c>
      <c r="AB22">
        <v>15</v>
      </c>
    </row>
    <row r="23" spans="27:28" x14ac:dyDescent="0.3">
      <c r="AA23" s="32" t="s">
        <v>3</v>
      </c>
      <c r="AB23">
        <v>3</v>
      </c>
    </row>
    <row r="24" spans="27:28" x14ac:dyDescent="0.3">
      <c r="AA24" s="32" t="s">
        <v>86</v>
      </c>
      <c r="AB24">
        <v>71</v>
      </c>
    </row>
    <row r="25" spans="27:28" x14ac:dyDescent="0.3">
      <c r="AA25" s="32" t="s">
        <v>87</v>
      </c>
      <c r="AB25">
        <v>75</v>
      </c>
    </row>
    <row r="26" spans="27:28" x14ac:dyDescent="0.3">
      <c r="AA26" s="32" t="s">
        <v>88</v>
      </c>
      <c r="AB26">
        <v>79</v>
      </c>
    </row>
    <row r="27" spans="27:28" x14ac:dyDescent="0.3">
      <c r="AA27" s="32"/>
    </row>
    <row r="28" spans="27:28" x14ac:dyDescent="0.3">
      <c r="AA28" s="32"/>
    </row>
    <row r="29" spans="27:28" x14ac:dyDescent="0.3">
      <c r="AA29" s="32"/>
    </row>
    <row r="30" spans="27:28" x14ac:dyDescent="0.3">
      <c r="AA30" s="32"/>
    </row>
    <row r="31" spans="27:28" x14ac:dyDescent="0.3">
      <c r="AA31" s="32"/>
    </row>
    <row r="32" spans="27:28" x14ac:dyDescent="0.3">
      <c r="AA32" s="32"/>
    </row>
    <row r="33" spans="27:27" x14ac:dyDescent="0.3">
      <c r="AA33" s="32"/>
    </row>
    <row r="34" spans="27:27" x14ac:dyDescent="0.3">
      <c r="AA34" s="32"/>
    </row>
    <row r="35" spans="27:27" x14ac:dyDescent="0.3">
      <c r="AA35" s="32"/>
    </row>
    <row r="36" spans="27:27" x14ac:dyDescent="0.3">
      <c r="AA36" s="32"/>
    </row>
    <row r="37" spans="27:27" x14ac:dyDescent="0.3">
      <c r="AA37" s="32"/>
    </row>
    <row r="38" spans="27:27" x14ac:dyDescent="0.3">
      <c r="AA38" s="32"/>
    </row>
    <row r="39" spans="27:27" x14ac:dyDescent="0.3">
      <c r="AA39" s="32"/>
    </row>
    <row r="40" spans="27:27" x14ac:dyDescent="0.3">
      <c r="AA40" s="32"/>
    </row>
    <row r="41" spans="27:27" x14ac:dyDescent="0.3">
      <c r="AA41" s="32"/>
    </row>
    <row r="42" spans="27:27" x14ac:dyDescent="0.3">
      <c r="AA42" s="32"/>
    </row>
    <row r="43" spans="27:27" x14ac:dyDescent="0.3">
      <c r="AA43" s="32"/>
    </row>
    <row r="44" spans="27:27" x14ac:dyDescent="0.3">
      <c r="AA44" s="32"/>
    </row>
    <row r="45" spans="27:27" x14ac:dyDescent="0.3">
      <c r="AA45" s="32"/>
    </row>
    <row r="46" spans="27:27" x14ac:dyDescent="0.3">
      <c r="AA46" s="32"/>
    </row>
    <row r="47" spans="27:27" x14ac:dyDescent="0.3">
      <c r="AA47" s="32"/>
    </row>
    <row r="48" spans="27:27" x14ac:dyDescent="0.3">
      <c r="AA48" s="32"/>
    </row>
    <row r="49" spans="27:27" x14ac:dyDescent="0.3">
      <c r="AA49" s="32"/>
    </row>
    <row r="50" spans="27:27" x14ac:dyDescent="0.3">
      <c r="AA50" s="32"/>
    </row>
    <row r="51" spans="27:27" x14ac:dyDescent="0.3">
      <c r="AA51" s="32"/>
    </row>
    <row r="52" spans="27:27" x14ac:dyDescent="0.3">
      <c r="AA52" s="32"/>
    </row>
    <row r="53" spans="27:27" x14ac:dyDescent="0.3">
      <c r="AA53" s="32"/>
    </row>
    <row r="54" spans="27:27" x14ac:dyDescent="0.3">
      <c r="AA54" s="32"/>
    </row>
    <row r="55" spans="27:27" x14ac:dyDescent="0.3">
      <c r="AA55" s="32"/>
    </row>
    <row r="56" spans="27:27" x14ac:dyDescent="0.3">
      <c r="AA56" s="32"/>
    </row>
    <row r="57" spans="27:27" x14ac:dyDescent="0.3">
      <c r="AA57" s="32"/>
    </row>
    <row r="58" spans="27:27" x14ac:dyDescent="0.3">
      <c r="AA58" s="32"/>
    </row>
    <row r="59" spans="27:27" x14ac:dyDescent="0.3">
      <c r="AA59" s="32"/>
    </row>
    <row r="60" spans="27:27" x14ac:dyDescent="0.3">
      <c r="AA60" s="32"/>
    </row>
    <row r="61" spans="27:27" x14ac:dyDescent="0.3">
      <c r="AA61" s="32"/>
    </row>
    <row r="62" spans="27:27" x14ac:dyDescent="0.3">
      <c r="AA62" s="32"/>
    </row>
    <row r="63" spans="27:27" x14ac:dyDescent="0.3">
      <c r="AA63" s="32"/>
    </row>
    <row r="64" spans="27:27" x14ac:dyDescent="0.3">
      <c r="AA64" s="32"/>
    </row>
    <row r="65" spans="27:27" x14ac:dyDescent="0.3">
      <c r="AA65" s="32"/>
    </row>
    <row r="66" spans="27:27" x14ac:dyDescent="0.3">
      <c r="AA66" s="32"/>
    </row>
    <row r="67" spans="27:27" x14ac:dyDescent="0.3">
      <c r="AA67" s="32"/>
    </row>
    <row r="68" spans="27:27" x14ac:dyDescent="0.3">
      <c r="AA68" s="32"/>
    </row>
    <row r="69" spans="27:27" x14ac:dyDescent="0.3">
      <c r="AA69" s="32"/>
    </row>
    <row r="70" spans="27:27" x14ac:dyDescent="0.3">
      <c r="AA70" s="32"/>
    </row>
    <row r="71" spans="27:27" x14ac:dyDescent="0.3">
      <c r="AA71" s="32"/>
    </row>
    <row r="72" spans="27:27" x14ac:dyDescent="0.3">
      <c r="AA72" s="32"/>
    </row>
    <row r="73" spans="27:27" x14ac:dyDescent="0.3">
      <c r="AA73" s="32"/>
    </row>
    <row r="74" spans="27:27" x14ac:dyDescent="0.3">
      <c r="AA74" s="32"/>
    </row>
    <row r="75" spans="27:27" x14ac:dyDescent="0.3">
      <c r="AA75" s="32"/>
    </row>
    <row r="76" spans="27:27" x14ac:dyDescent="0.3">
      <c r="AA76" s="32"/>
    </row>
    <row r="77" spans="27:27" x14ac:dyDescent="0.3">
      <c r="AA77" s="32"/>
    </row>
    <row r="78" spans="27:27" x14ac:dyDescent="0.3">
      <c r="AA78" s="32"/>
    </row>
    <row r="79" spans="27:27" x14ac:dyDescent="0.3">
      <c r="AA79" s="32"/>
    </row>
    <row r="80" spans="27:27" x14ac:dyDescent="0.3">
      <c r="AA80" s="32"/>
    </row>
    <row r="81" spans="27:27" x14ac:dyDescent="0.3">
      <c r="AA81" s="32"/>
    </row>
    <row r="82" spans="27:27" x14ac:dyDescent="0.3">
      <c r="AA82" s="32"/>
    </row>
    <row r="83" spans="27:27" x14ac:dyDescent="0.3">
      <c r="AA83" s="32"/>
    </row>
    <row r="84" spans="27:27" x14ac:dyDescent="0.3">
      <c r="AA84" s="32"/>
    </row>
    <row r="85" spans="27:27" x14ac:dyDescent="0.3">
      <c r="AA85" s="32"/>
    </row>
    <row r="86" spans="27:27" x14ac:dyDescent="0.3">
      <c r="AA86" s="32"/>
    </row>
  </sheetData>
  <phoneticPr fontId="2" type="noConversion"/>
  <dataValidations count="2">
    <dataValidation type="list" allowBlank="1" showInputMessage="1" showErrorMessage="1" sqref="A2">
      <formula1>$Z$3:$Z$14</formula1>
    </dataValidation>
    <dataValidation type="list" allowBlank="1" showInputMessage="1" showErrorMessage="1" sqref="B2">
      <formula1>$AA$3:$AA$26</formula1>
    </dataValidation>
  </dataValidations>
  <pageMargins left="0.75" right="0.75" top="1" bottom="1" header="0.5" footer="0.5"/>
  <pageSetup paperSize="9" orientation="portrait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470"/>
  <sheetViews>
    <sheetView tabSelected="1" topLeftCell="Y28" zoomScale="85" zoomScaleNormal="85" workbookViewId="0">
      <selection activeCell="E319" sqref="E319"/>
    </sheetView>
  </sheetViews>
  <sheetFormatPr defaultColWidth="10.77734375" defaultRowHeight="12" x14ac:dyDescent="0.2"/>
  <cols>
    <col min="1" max="1" width="8.33203125" style="1" customWidth="1"/>
    <col min="2" max="2" width="14.77734375" style="1" customWidth="1"/>
    <col min="3" max="3" width="7.77734375" style="1" customWidth="1"/>
    <col min="4" max="4" width="9.77734375" style="1" customWidth="1"/>
    <col min="5" max="7" width="6.77734375" style="1" customWidth="1"/>
    <col min="8" max="10" width="8.77734375" style="1" customWidth="1"/>
    <col min="11" max="11" width="2.77734375" style="1" customWidth="1"/>
    <col min="12" max="12" width="9.77734375" style="1" customWidth="1"/>
    <col min="13" max="15" width="6.77734375" style="1" customWidth="1"/>
    <col min="16" max="18" width="8.77734375" style="1" customWidth="1"/>
    <col min="19" max="19" width="2.77734375" style="1" customWidth="1"/>
    <col min="20" max="25" width="8.77734375" style="1" customWidth="1"/>
    <col min="26" max="16384" width="10.77734375" style="1"/>
  </cols>
  <sheetData>
    <row r="1" spans="1:25" ht="12.75" thickBot="1" x14ac:dyDescent="0.25">
      <c r="D1" s="162" t="s">
        <v>32</v>
      </c>
      <c r="E1" s="163"/>
      <c r="F1" s="163"/>
      <c r="G1" s="163"/>
      <c r="H1" s="163"/>
      <c r="I1" s="163"/>
      <c r="J1" s="164"/>
      <c r="L1" s="162" t="s">
        <v>33</v>
      </c>
      <c r="M1" s="163"/>
      <c r="N1" s="163"/>
      <c r="O1" s="163"/>
      <c r="P1" s="163"/>
      <c r="Q1" s="163"/>
      <c r="R1" s="164"/>
      <c r="S1" s="2"/>
      <c r="T1" s="162" t="s">
        <v>47</v>
      </c>
      <c r="U1" s="163"/>
      <c r="V1" s="164"/>
      <c r="W1" s="162" t="s">
        <v>48</v>
      </c>
      <c r="X1" s="163"/>
      <c r="Y1" s="164"/>
    </row>
    <row r="2" spans="1:25" ht="12.75" thickBot="1" x14ac:dyDescent="0.25">
      <c r="A2" s="3"/>
      <c r="B2" s="4"/>
      <c r="C2" s="5" t="s">
        <v>1</v>
      </c>
      <c r="D2" s="6" t="s">
        <v>34</v>
      </c>
      <c r="E2" s="7" t="s">
        <v>35</v>
      </c>
      <c r="F2" s="7" t="s">
        <v>36</v>
      </c>
      <c r="G2" s="7" t="s">
        <v>37</v>
      </c>
      <c r="H2" s="7" t="s">
        <v>38</v>
      </c>
      <c r="I2" s="7" t="s">
        <v>39</v>
      </c>
      <c r="J2" s="8" t="s">
        <v>40</v>
      </c>
      <c r="K2" s="2"/>
      <c r="L2" s="6" t="s">
        <v>34</v>
      </c>
      <c r="M2" s="7" t="s">
        <v>35</v>
      </c>
      <c r="N2" s="7" t="s">
        <v>36</v>
      </c>
      <c r="O2" s="7" t="s">
        <v>37</v>
      </c>
      <c r="P2" s="7" t="s">
        <v>38</v>
      </c>
      <c r="Q2" s="7" t="s">
        <v>39</v>
      </c>
      <c r="R2" s="8" t="s">
        <v>40</v>
      </c>
      <c r="S2" s="9"/>
      <c r="T2" s="6" t="s">
        <v>41</v>
      </c>
      <c r="U2" s="7" t="s">
        <v>42</v>
      </c>
      <c r="V2" s="8" t="s">
        <v>43</v>
      </c>
      <c r="W2" s="10" t="s">
        <v>41</v>
      </c>
      <c r="X2" s="11" t="s">
        <v>42</v>
      </c>
      <c r="Y2" s="12" t="s">
        <v>43</v>
      </c>
    </row>
    <row r="3" spans="1:25" x14ac:dyDescent="0.2">
      <c r="A3" s="13" t="s">
        <v>117</v>
      </c>
      <c r="B3" s="13" t="s">
        <v>109</v>
      </c>
      <c r="C3" s="13">
        <v>22</v>
      </c>
      <c r="D3" s="17">
        <v>1494.2</v>
      </c>
      <c r="E3" s="18">
        <v>49.384815000000003</v>
      </c>
      <c r="F3" s="18">
        <v>45.216667999999999</v>
      </c>
      <c r="G3" s="18">
        <v>45.369886999999999</v>
      </c>
      <c r="H3" s="18">
        <v>46.280301999999999</v>
      </c>
      <c r="I3" s="18"/>
      <c r="J3" s="16">
        <f>H3/3600</f>
        <v>1.2855639444444443E-2</v>
      </c>
      <c r="L3" s="17"/>
      <c r="M3" s="18"/>
      <c r="N3" s="18"/>
      <c r="O3" s="18"/>
      <c r="P3" s="18"/>
      <c r="Q3" s="18"/>
      <c r="R3" s="19">
        <f>P3/3600</f>
        <v>0</v>
      </c>
      <c r="S3" s="20"/>
      <c r="T3" s="21" t="e">
        <f>bdrate($D3:$D6,E3:E6,$L3:$L6,M3:M6)</f>
        <v>#VALUE!</v>
      </c>
      <c r="U3" s="22" t="e">
        <f>bdrate($D3:$D6,F3:F6,$L3:$L6,N3:N6)</f>
        <v>#VALUE!</v>
      </c>
      <c r="V3" s="23" t="e">
        <f>bdrate($D3:$D6,G3:G6,$L3:$L6,O3:O6)</f>
        <v>#VALUE!</v>
      </c>
      <c r="W3" s="21" t="e">
        <f>bdrateOld($D3:$D6,E3:E6,$L3:$L6,M3:M6)</f>
        <v>#VALUE!</v>
      </c>
      <c r="X3" s="22" t="e">
        <f>bdrateOld($D3:$D6,F3:F6,$L3:$L6,N3:N6)</f>
        <v>#VALUE!</v>
      </c>
      <c r="Y3" s="23" t="e">
        <f>bdrateOld($D3:$D6,G3:G6,$L3:$L6,O3:O6)</f>
        <v>#VALUE!</v>
      </c>
    </row>
    <row r="4" spans="1:25" x14ac:dyDescent="0.2">
      <c r="A4" s="24"/>
      <c r="B4" s="24" t="s">
        <v>110</v>
      </c>
      <c r="C4" s="24">
        <v>27</v>
      </c>
      <c r="D4" s="28">
        <v>348.88799999999998</v>
      </c>
      <c r="E4" s="29">
        <v>48.506950000000003</v>
      </c>
      <c r="F4" s="29">
        <v>43.087614000000002</v>
      </c>
      <c r="G4" s="29">
        <v>43.320619000000001</v>
      </c>
      <c r="H4" s="29">
        <v>44.366275999999999</v>
      </c>
      <c r="I4" s="29"/>
      <c r="J4" s="27">
        <f t="shared" ref="J4:J54" si="0">H4/3600</f>
        <v>1.2323965555555556E-2</v>
      </c>
      <c r="L4" s="28"/>
      <c r="M4" s="29"/>
      <c r="N4" s="29"/>
      <c r="O4" s="29"/>
      <c r="P4" s="29"/>
      <c r="Q4" s="29"/>
      <c r="R4" s="30">
        <f t="shared" ref="R4:R54" si="1">P4/3600</f>
        <v>0</v>
      </c>
      <c r="S4" s="20"/>
      <c r="T4" s="31"/>
      <c r="U4" s="32"/>
      <c r="V4" s="33"/>
      <c r="W4" s="31"/>
      <c r="X4" s="32"/>
      <c r="Y4" s="33"/>
    </row>
    <row r="5" spans="1:25" x14ac:dyDescent="0.2">
      <c r="A5" s="24"/>
      <c r="B5" s="24"/>
      <c r="C5" s="24">
        <v>32</v>
      </c>
      <c r="D5" s="28">
        <v>93.44</v>
      </c>
      <c r="E5" s="29">
        <v>47.340898000000003</v>
      </c>
      <c r="F5" s="29">
        <v>42.178631000000003</v>
      </c>
      <c r="G5" s="29">
        <v>42.426789999999997</v>
      </c>
      <c r="H5" s="29">
        <v>43.429772</v>
      </c>
      <c r="I5" s="29"/>
      <c r="J5" s="27">
        <f t="shared" si="0"/>
        <v>1.2063825555555555E-2</v>
      </c>
      <c r="L5" s="28"/>
      <c r="M5" s="29"/>
      <c r="N5" s="29"/>
      <c r="O5" s="29"/>
      <c r="P5" s="29"/>
      <c r="Q5" s="29"/>
      <c r="R5" s="30">
        <f t="shared" si="1"/>
        <v>0</v>
      </c>
      <c r="S5" s="20"/>
      <c r="T5" s="31"/>
      <c r="U5" s="32"/>
      <c r="V5" s="33"/>
      <c r="W5" s="31"/>
      <c r="X5" s="32"/>
      <c r="Y5" s="33"/>
    </row>
    <row r="6" spans="1:25" ht="12.75" thickBot="1" x14ac:dyDescent="0.25">
      <c r="A6" s="24"/>
      <c r="B6" s="34"/>
      <c r="C6" s="34">
        <v>37</v>
      </c>
      <c r="D6" s="38">
        <v>40.744</v>
      </c>
      <c r="E6" s="39">
        <v>45.606490999999998</v>
      </c>
      <c r="F6" s="39">
        <v>41.628663000000003</v>
      </c>
      <c r="G6" s="39">
        <v>41.766485000000003</v>
      </c>
      <c r="H6" s="39">
        <v>42.654392999999999</v>
      </c>
      <c r="I6" s="39"/>
      <c r="J6" s="37">
        <f t="shared" si="0"/>
        <v>1.18484425E-2</v>
      </c>
      <c r="L6" s="38"/>
      <c r="M6" s="39"/>
      <c r="N6" s="39"/>
      <c r="O6" s="39"/>
      <c r="P6" s="39"/>
      <c r="Q6" s="39"/>
      <c r="R6" s="40">
        <f t="shared" si="1"/>
        <v>0</v>
      </c>
      <c r="S6" s="20"/>
      <c r="T6" s="41"/>
      <c r="U6" s="42"/>
      <c r="V6" s="43"/>
      <c r="W6" s="41"/>
      <c r="X6" s="42"/>
      <c r="Y6" s="43"/>
    </row>
    <row r="7" spans="1:25" x14ac:dyDescent="0.2">
      <c r="A7" s="24"/>
      <c r="B7" s="13" t="s">
        <v>111</v>
      </c>
      <c r="C7" s="13">
        <v>22</v>
      </c>
      <c r="D7" s="17">
        <v>2504.4160000000002</v>
      </c>
      <c r="E7" s="18">
        <v>48.126655999999997</v>
      </c>
      <c r="F7" s="18">
        <v>44.508786999999998</v>
      </c>
      <c r="G7" s="18">
        <v>44.652352999999998</v>
      </c>
      <c r="H7" s="18">
        <v>45.473896000000003</v>
      </c>
      <c r="I7" s="18"/>
      <c r="J7" s="16">
        <f t="shared" si="0"/>
        <v>1.2631637777777779E-2</v>
      </c>
      <c r="L7" s="17"/>
      <c r="M7" s="18"/>
      <c r="N7" s="18"/>
      <c r="O7" s="18"/>
      <c r="P7" s="18"/>
      <c r="Q7" s="18"/>
      <c r="R7" s="19">
        <f t="shared" si="1"/>
        <v>0</v>
      </c>
      <c r="S7" s="20"/>
      <c r="T7" s="21" t="e">
        <f>bdrate($D7:$D10,E7:E10,$L7:$L10,M7:M10)</f>
        <v>#VALUE!</v>
      </c>
      <c r="U7" s="22" t="e">
        <f>bdrate($D7:$D10,F7:F10,$L7:$L10,N7:N10)</f>
        <v>#VALUE!</v>
      </c>
      <c r="V7" s="22" t="e">
        <f>bdrate($D7:$D10,G7:G10,$L7:$L10,O7:O10)</f>
        <v>#VALUE!</v>
      </c>
      <c r="W7" s="44" t="e">
        <f>bdrateOld($D7:$D10,E7:E10,$L7:$L10,M7:M10)</f>
        <v>#VALUE!</v>
      </c>
      <c r="X7" s="45" t="e">
        <f>bdrateOld($D7:$D10,F7:F10,$L7:$L10,N7:N10)</f>
        <v>#VALUE!</v>
      </c>
      <c r="Y7" s="46" t="e">
        <f>bdrateOld($D7:$D10,G7:G10,$L7:$L10,O7:O10)</f>
        <v>#VALUE!</v>
      </c>
    </row>
    <row r="8" spans="1:25" x14ac:dyDescent="0.2">
      <c r="A8" s="24"/>
      <c r="B8" s="24"/>
      <c r="C8" s="24">
        <v>27</v>
      </c>
      <c r="D8" s="28">
        <v>728.04</v>
      </c>
      <c r="E8" s="29">
        <v>46.950704000000002</v>
      </c>
      <c r="F8" s="29">
        <v>41.837148999999997</v>
      </c>
      <c r="G8" s="29">
        <v>42.072308</v>
      </c>
      <c r="H8" s="29">
        <v>43.076205000000002</v>
      </c>
      <c r="I8" s="29"/>
      <c r="J8" s="27">
        <f t="shared" si="0"/>
        <v>1.19656125E-2</v>
      </c>
      <c r="L8" s="28"/>
      <c r="M8" s="29"/>
      <c r="N8" s="29"/>
      <c r="O8" s="29"/>
      <c r="P8" s="29"/>
      <c r="Q8" s="29"/>
      <c r="R8" s="30">
        <f t="shared" si="1"/>
        <v>0</v>
      </c>
      <c r="S8" s="20"/>
      <c r="T8" s="31"/>
      <c r="U8" s="32"/>
      <c r="V8" s="32"/>
      <c r="W8" s="31"/>
      <c r="X8" s="32"/>
      <c r="Y8" s="33"/>
    </row>
    <row r="9" spans="1:25" x14ac:dyDescent="0.2">
      <c r="A9" s="24"/>
      <c r="B9" s="24"/>
      <c r="C9" s="24">
        <v>32</v>
      </c>
      <c r="D9" s="28">
        <v>220.38399999999999</v>
      </c>
      <c r="E9" s="29">
        <v>45.683858000000001</v>
      </c>
      <c r="F9" s="29">
        <v>40.442048</v>
      </c>
      <c r="G9" s="29">
        <v>40.700237999999999</v>
      </c>
      <c r="H9" s="29">
        <v>41.708098</v>
      </c>
      <c r="I9" s="29"/>
      <c r="J9" s="27">
        <f t="shared" si="0"/>
        <v>1.1585582777777778E-2</v>
      </c>
      <c r="L9" s="28"/>
      <c r="M9" s="29"/>
      <c r="N9" s="29"/>
      <c r="O9" s="29"/>
      <c r="P9" s="29"/>
      <c r="Q9" s="29"/>
      <c r="R9" s="30">
        <f t="shared" si="1"/>
        <v>0</v>
      </c>
      <c r="S9" s="20"/>
      <c r="T9" s="31"/>
      <c r="U9" s="47"/>
      <c r="V9" s="32"/>
      <c r="W9" s="31"/>
      <c r="X9" s="32"/>
      <c r="Y9" s="33"/>
    </row>
    <row r="10" spans="1:25" ht="12.75" thickBot="1" x14ac:dyDescent="0.25">
      <c r="A10" s="24"/>
      <c r="B10" s="34"/>
      <c r="C10" s="34">
        <v>37</v>
      </c>
      <c r="D10" s="38">
        <v>102.14400000000001</v>
      </c>
      <c r="E10" s="39">
        <v>43.943804999999998</v>
      </c>
      <c r="F10" s="39">
        <v>39.576236000000002</v>
      </c>
      <c r="G10" s="39">
        <v>39.746937000000003</v>
      </c>
      <c r="H10" s="39">
        <v>40.679006000000001</v>
      </c>
      <c r="I10" s="39"/>
      <c r="J10" s="37">
        <f t="shared" si="0"/>
        <v>1.1299723888888889E-2</v>
      </c>
      <c r="L10" s="38"/>
      <c r="M10" s="39"/>
      <c r="N10" s="39"/>
      <c r="O10" s="39"/>
      <c r="P10" s="39"/>
      <c r="Q10" s="39"/>
      <c r="R10" s="40">
        <f t="shared" si="1"/>
        <v>0</v>
      </c>
      <c r="S10" s="20"/>
      <c r="T10" s="41"/>
      <c r="U10" s="42"/>
      <c r="V10" s="42"/>
      <c r="W10" s="41"/>
      <c r="X10" s="42"/>
      <c r="Y10" s="43"/>
    </row>
    <row r="11" spans="1:25" x14ac:dyDescent="0.2">
      <c r="A11" s="118"/>
      <c r="B11" s="117" t="s">
        <v>112</v>
      </c>
      <c r="C11" s="117">
        <v>22</v>
      </c>
      <c r="D11" s="17">
        <v>1026.992</v>
      </c>
      <c r="E11" s="18">
        <v>53.082805999999998</v>
      </c>
      <c r="F11" s="18">
        <v>524.28939200000002</v>
      </c>
      <c r="G11" s="18">
        <v>525.47095899999999</v>
      </c>
      <c r="H11" s="18">
        <v>52.669815999999997</v>
      </c>
      <c r="I11" s="18"/>
      <c r="J11" s="16">
        <f t="shared" si="0"/>
        <v>1.4630504444444444E-2</v>
      </c>
      <c r="L11" s="14">
        <v>489.50400000000002</v>
      </c>
      <c r="M11" s="15">
        <v>52.304226</v>
      </c>
      <c r="N11" s="15">
        <v>522.90038300000003</v>
      </c>
      <c r="O11" s="15">
        <v>524.55162199999995</v>
      </c>
      <c r="P11" s="15">
        <v>50.584510999999999</v>
      </c>
      <c r="Q11" s="18"/>
      <c r="R11" s="19">
        <f t="shared" si="1"/>
        <v>1.4051253055555555E-2</v>
      </c>
      <c r="S11" s="20"/>
      <c r="T11" s="21">
        <f>bdrate($D11:$D14,E11:E14,$L11:$L14,M11:M14)</f>
        <v>-0.30962559970836212</v>
      </c>
      <c r="U11" s="22">
        <f>bdrate($D11:$D14,F11:F14,$L11:$L14,N11:N14)</f>
        <v>0.13812872839663415</v>
      </c>
      <c r="V11" s="22">
        <f>bdrate($D11:$D14,G11:G14,$L11:$L14,O11:O14)</f>
        <v>0.23185582004252314</v>
      </c>
      <c r="W11" s="44">
        <f>bdrateOld($D11:$D14,E11:E14,$L11:$L14,M11:M14)</f>
        <v>-0.31074661283257932</v>
      </c>
      <c r="X11" s="45">
        <f>bdrateOld($D11:$D14,F11:F14,$L11:$L14,N11:N14)</f>
        <v>1.0020630740531917</v>
      </c>
      <c r="Y11" s="46">
        <f>bdrateOld($D11:$D14,G11:G14,$L11:$L14,O11:O14)</f>
        <v>2.1543465209955714</v>
      </c>
    </row>
    <row r="12" spans="1:25" x14ac:dyDescent="0.2">
      <c r="A12" s="118"/>
      <c r="B12" s="118"/>
      <c r="C12" s="118">
        <v>27</v>
      </c>
      <c r="D12" s="28">
        <v>426.05599999999998</v>
      </c>
      <c r="E12" s="29">
        <v>51.548889000000003</v>
      </c>
      <c r="F12" s="29">
        <v>522.846363</v>
      </c>
      <c r="G12" s="29">
        <v>524.52225999999996</v>
      </c>
      <c r="H12" s="29">
        <v>50.398648999999999</v>
      </c>
      <c r="I12" s="29"/>
      <c r="J12" s="27">
        <f t="shared" si="0"/>
        <v>1.3999624722222222E-2</v>
      </c>
      <c r="L12" s="25">
        <v>157.04</v>
      </c>
      <c r="M12" s="26">
        <v>50.416220000000003</v>
      </c>
      <c r="N12" s="26">
        <v>521.50244399999997</v>
      </c>
      <c r="O12" s="26">
        <v>523.45387900000003</v>
      </c>
      <c r="P12" s="26">
        <v>48.070188000000002</v>
      </c>
      <c r="Q12" s="29"/>
      <c r="R12" s="30">
        <f t="shared" si="1"/>
        <v>1.3352830000000001E-2</v>
      </c>
      <c r="S12" s="20"/>
      <c r="T12" s="31"/>
      <c r="U12" s="32"/>
      <c r="V12" s="32"/>
      <c r="W12" s="31"/>
      <c r="X12" s="32"/>
      <c r="Y12" s="33"/>
    </row>
    <row r="13" spans="1:25" x14ac:dyDescent="0.2">
      <c r="A13" s="118"/>
      <c r="B13" s="118" t="s">
        <v>126</v>
      </c>
      <c r="C13" s="118">
        <v>32</v>
      </c>
      <c r="D13" s="28">
        <v>170.17599999999999</v>
      </c>
      <c r="E13" s="29">
        <v>49.721958999999998</v>
      </c>
      <c r="F13" s="29">
        <v>521.74960799999997</v>
      </c>
      <c r="G13" s="29">
        <v>523.69879100000003</v>
      </c>
      <c r="H13" s="29">
        <v>48.426502999999997</v>
      </c>
      <c r="I13" s="29"/>
      <c r="J13" s="27">
        <f t="shared" si="0"/>
        <v>1.3451806388888888E-2</v>
      </c>
      <c r="L13" s="25">
        <v>62.008000000000003</v>
      </c>
      <c r="M13" s="26">
        <v>48.070822</v>
      </c>
      <c r="N13" s="26">
        <v>66.117838000000006</v>
      </c>
      <c r="O13" s="26">
        <v>67.853753999999995</v>
      </c>
      <c r="P13" s="26">
        <v>45.838985999999998</v>
      </c>
      <c r="Q13" s="29"/>
      <c r="R13" s="30">
        <f t="shared" si="1"/>
        <v>1.2733051666666667E-2</v>
      </c>
      <c r="S13" s="20"/>
      <c r="T13" s="31"/>
      <c r="U13" s="32"/>
      <c r="V13" s="32"/>
      <c r="W13" s="31"/>
      <c r="X13" s="32"/>
      <c r="Y13" s="33"/>
    </row>
    <row r="14" spans="1:25" ht="12.75" thickBot="1" x14ac:dyDescent="0.25">
      <c r="A14" s="118"/>
      <c r="B14" s="119"/>
      <c r="C14" s="119">
        <v>37</v>
      </c>
      <c r="D14" s="38">
        <v>73.08</v>
      </c>
      <c r="E14" s="39">
        <v>47.527786999999996</v>
      </c>
      <c r="F14" s="39">
        <v>520.95891900000004</v>
      </c>
      <c r="G14" s="39">
        <v>522.79575499999999</v>
      </c>
      <c r="H14" s="39">
        <v>46.628500000000003</v>
      </c>
      <c r="I14" s="39"/>
      <c r="J14" s="37">
        <f t="shared" si="0"/>
        <v>1.2952361111111112E-2</v>
      </c>
      <c r="L14" s="35">
        <v>30.687999999999999</v>
      </c>
      <c r="M14" s="36">
        <v>45.670332000000002</v>
      </c>
      <c r="N14" s="36">
        <v>519.60729900000001</v>
      </c>
      <c r="O14" s="36">
        <v>521.00330799999995</v>
      </c>
      <c r="P14" s="36">
        <v>43.572356999999997</v>
      </c>
      <c r="Q14" s="39"/>
      <c r="R14" s="40">
        <f t="shared" si="1"/>
        <v>1.2103432499999999E-2</v>
      </c>
      <c r="S14" s="20"/>
      <c r="T14" s="41"/>
      <c r="U14" s="42"/>
      <c r="V14" s="42"/>
      <c r="W14" s="41"/>
      <c r="X14" s="42"/>
      <c r="Y14" s="43"/>
    </row>
    <row r="15" spans="1:25" x14ac:dyDescent="0.2">
      <c r="A15" s="118"/>
      <c r="B15" s="117" t="s">
        <v>113</v>
      </c>
      <c r="C15" s="117">
        <v>22</v>
      </c>
      <c r="D15" s="17">
        <v>1026.992</v>
      </c>
      <c r="E15" s="18">
        <v>53.082805999999998</v>
      </c>
      <c r="F15" s="18">
        <v>524.28939200000002</v>
      </c>
      <c r="G15" s="18">
        <v>525.47095899999999</v>
      </c>
      <c r="H15" s="18">
        <v>52.669815999999997</v>
      </c>
      <c r="I15" s="18"/>
      <c r="J15" s="16">
        <f t="shared" si="0"/>
        <v>1.4630504444444444E-2</v>
      </c>
      <c r="L15" s="17"/>
      <c r="M15" s="18"/>
      <c r="N15" s="18"/>
      <c r="O15" s="18"/>
      <c r="P15" s="18"/>
      <c r="Q15" s="18"/>
      <c r="R15" s="19">
        <f t="shared" si="1"/>
        <v>0</v>
      </c>
      <c r="S15" s="20"/>
      <c r="T15" s="21" t="e">
        <f>bdrate($D15:$D18,E15:E18,$L15:$L18,M15:M18)</f>
        <v>#VALUE!</v>
      </c>
      <c r="U15" s="22" t="e">
        <f>bdrate($D15:$D18,F15:F18,$L15:$L18,N15:N18)</f>
        <v>#VALUE!</v>
      </c>
      <c r="V15" s="22" t="e">
        <f>bdrate($D15:$D18,G15:G18,$L15:$L18,O15:O18)</f>
        <v>#VALUE!</v>
      </c>
      <c r="W15" s="44" t="e">
        <f>bdrateOld($D15:$D18,E15:E18,$L15:$L18,M15:M18)</f>
        <v>#VALUE!</v>
      </c>
      <c r="X15" s="45" t="e">
        <f>bdrateOld($D15:$D18,F15:F18,$L15:$L18,N15:N18)</f>
        <v>#VALUE!</v>
      </c>
      <c r="Y15" s="46" t="e">
        <f>bdrateOld($D15:$D18,G15:G18,$L15:$L18,O15:O18)</f>
        <v>#VALUE!</v>
      </c>
    </row>
    <row r="16" spans="1:25" x14ac:dyDescent="0.2">
      <c r="A16" s="118"/>
      <c r="B16" s="118"/>
      <c r="C16" s="118">
        <v>27</v>
      </c>
      <c r="D16" s="28">
        <v>426.05599999999998</v>
      </c>
      <c r="E16" s="29">
        <v>51.548889000000003</v>
      </c>
      <c r="F16" s="29">
        <v>522.846363</v>
      </c>
      <c r="G16" s="29">
        <v>524.52225999999996</v>
      </c>
      <c r="H16" s="29">
        <v>50.398648999999999</v>
      </c>
      <c r="I16" s="29"/>
      <c r="J16" s="27">
        <f t="shared" si="0"/>
        <v>1.3999624722222222E-2</v>
      </c>
      <c r="L16" s="28"/>
      <c r="M16" s="29"/>
      <c r="N16" s="29"/>
      <c r="O16" s="29"/>
      <c r="P16" s="29"/>
      <c r="Q16" s="29"/>
      <c r="R16" s="30">
        <f t="shared" si="1"/>
        <v>0</v>
      </c>
      <c r="S16" s="20"/>
      <c r="T16" s="31"/>
      <c r="U16" s="32"/>
      <c r="V16" s="32"/>
      <c r="W16" s="31"/>
      <c r="X16" s="32"/>
      <c r="Y16" s="33"/>
    </row>
    <row r="17" spans="1:25" x14ac:dyDescent="0.2">
      <c r="A17" s="118"/>
      <c r="B17" s="118" t="s">
        <v>126</v>
      </c>
      <c r="C17" s="118">
        <v>32</v>
      </c>
      <c r="D17" s="28">
        <v>170.17599999999999</v>
      </c>
      <c r="E17" s="29">
        <v>49.721958999999998</v>
      </c>
      <c r="F17" s="29">
        <v>521.74960799999997</v>
      </c>
      <c r="G17" s="29">
        <v>523.69879100000003</v>
      </c>
      <c r="H17" s="29">
        <v>48.426502999999997</v>
      </c>
      <c r="I17" s="29"/>
      <c r="J17" s="27">
        <f t="shared" si="0"/>
        <v>1.3451806388888888E-2</v>
      </c>
      <c r="L17" s="28"/>
      <c r="M17" s="29"/>
      <c r="N17" s="29"/>
      <c r="O17" s="29"/>
      <c r="P17" s="29"/>
      <c r="Q17" s="29"/>
      <c r="R17" s="30">
        <f t="shared" si="1"/>
        <v>0</v>
      </c>
      <c r="S17" s="20"/>
      <c r="T17" s="31"/>
      <c r="U17" s="32"/>
      <c r="V17" s="32"/>
      <c r="W17" s="31"/>
      <c r="X17" s="32"/>
      <c r="Y17" s="33"/>
    </row>
    <row r="18" spans="1:25" ht="12.75" thickBot="1" x14ac:dyDescent="0.25">
      <c r="A18" s="118"/>
      <c r="B18" s="119"/>
      <c r="C18" s="119">
        <v>37</v>
      </c>
      <c r="D18" s="38">
        <v>73.08</v>
      </c>
      <c r="E18" s="39">
        <v>47.527786999999996</v>
      </c>
      <c r="F18" s="39">
        <v>520.95891900000004</v>
      </c>
      <c r="G18" s="39">
        <v>522.79575499999999</v>
      </c>
      <c r="H18" s="39">
        <v>46.628500000000003</v>
      </c>
      <c r="I18" s="39"/>
      <c r="J18" s="37">
        <f t="shared" si="0"/>
        <v>1.2952361111111112E-2</v>
      </c>
      <c r="L18" s="38"/>
      <c r="M18" s="39"/>
      <c r="N18" s="39"/>
      <c r="O18" s="39"/>
      <c r="P18" s="39"/>
      <c r="Q18" s="39"/>
      <c r="R18" s="40">
        <f t="shared" si="1"/>
        <v>0</v>
      </c>
      <c r="S18" s="20"/>
      <c r="T18" s="41"/>
      <c r="U18" s="42"/>
      <c r="V18" s="42"/>
      <c r="W18" s="41"/>
      <c r="X18" s="42"/>
      <c r="Y18" s="43"/>
    </row>
    <row r="19" spans="1:25" x14ac:dyDescent="0.2">
      <c r="A19" s="24"/>
      <c r="B19" s="13" t="s">
        <v>115</v>
      </c>
      <c r="C19" s="13">
        <v>22</v>
      </c>
      <c r="D19" s="14">
        <v>62.472000000000001</v>
      </c>
      <c r="E19" s="15">
        <v>54.750073</v>
      </c>
      <c r="F19" s="15"/>
      <c r="G19" s="15"/>
      <c r="H19" s="15"/>
      <c r="I19" s="15"/>
      <c r="J19" s="16">
        <f t="shared" si="0"/>
        <v>0</v>
      </c>
      <c r="L19" s="14"/>
      <c r="M19" s="15"/>
      <c r="N19" s="15"/>
      <c r="O19" s="15"/>
      <c r="P19" s="15"/>
      <c r="Q19" s="15"/>
      <c r="R19" s="16">
        <f t="shared" si="1"/>
        <v>0</v>
      </c>
      <c r="S19" s="20"/>
      <c r="T19" s="21" t="e">
        <f>bdrate($D19:$D22,E19:E22,$L19:$L22,M19:M22)</f>
        <v>#VALUE!</v>
      </c>
      <c r="U19" s="22" t="e">
        <f>bdrate($D19:$D22,F19:F22,$L19:$L22,N19:N22)</f>
        <v>#VALUE!</v>
      </c>
      <c r="V19" s="22" t="e">
        <f>bdrate($D19:$D22,G19:G22,$L19:$L22,O19:O22)</f>
        <v>#VALUE!</v>
      </c>
      <c r="W19" s="44" t="e">
        <f>bdrateOld($D19:$D22,E19:E22,$L19:$L22,M19:M22)</f>
        <v>#VALUE!</v>
      </c>
      <c r="X19" s="45" t="e">
        <f>bdrateOld($D19:$D22,F19:F22,$L19:$L22,N19:N22)</f>
        <v>#VALUE!</v>
      </c>
      <c r="Y19" s="46" t="e">
        <f>bdrateOld($D19:$D22,G19:G22,$L19:$L22,O19:O22)</f>
        <v>#VALUE!</v>
      </c>
    </row>
    <row r="20" spans="1:25" x14ac:dyDescent="0.2">
      <c r="A20" s="24"/>
      <c r="B20" s="24" t="s">
        <v>114</v>
      </c>
      <c r="C20" s="24">
        <v>27</v>
      </c>
      <c r="D20" s="25">
        <v>31.488</v>
      </c>
      <c r="E20" s="26">
        <v>53.498311000000001</v>
      </c>
      <c r="F20" s="26"/>
      <c r="G20" s="26"/>
      <c r="H20" s="26"/>
      <c r="I20" s="26"/>
      <c r="J20" s="27">
        <f t="shared" si="0"/>
        <v>0</v>
      </c>
      <c r="L20" s="25"/>
      <c r="M20" s="26"/>
      <c r="N20" s="26"/>
      <c r="O20" s="26"/>
      <c r="P20" s="26"/>
      <c r="Q20" s="26"/>
      <c r="R20" s="27">
        <f t="shared" si="1"/>
        <v>0</v>
      </c>
      <c r="S20" s="20"/>
      <c r="T20" s="31"/>
      <c r="U20" s="32"/>
      <c r="V20" s="32"/>
      <c r="W20" s="31"/>
      <c r="X20" s="32"/>
      <c r="Y20" s="33"/>
    </row>
    <row r="21" spans="1:25" x14ac:dyDescent="0.2">
      <c r="A21" s="24"/>
      <c r="B21" s="24"/>
      <c r="C21" s="24">
        <v>32</v>
      </c>
      <c r="D21" s="25">
        <v>17.936</v>
      </c>
      <c r="E21" s="26">
        <v>51.666671999999998</v>
      </c>
      <c r="F21" s="26"/>
      <c r="G21" s="26"/>
      <c r="H21" s="26"/>
      <c r="I21" s="26"/>
      <c r="J21" s="27">
        <f t="shared" si="0"/>
        <v>0</v>
      </c>
      <c r="L21" s="25"/>
      <c r="M21" s="26"/>
      <c r="N21" s="26"/>
      <c r="O21" s="26"/>
      <c r="P21" s="26"/>
      <c r="Q21" s="26"/>
      <c r="R21" s="27">
        <f t="shared" si="1"/>
        <v>0</v>
      </c>
      <c r="S21" s="20"/>
      <c r="T21" s="31"/>
      <c r="U21" s="32"/>
      <c r="V21" s="32"/>
      <c r="W21" s="31"/>
      <c r="X21" s="32"/>
      <c r="Y21" s="33"/>
    </row>
    <row r="22" spans="1:25" ht="12.75" thickBot="1" x14ac:dyDescent="0.25">
      <c r="A22" s="24"/>
      <c r="B22" s="34"/>
      <c r="C22" s="34">
        <v>37</v>
      </c>
      <c r="D22" s="35">
        <v>10.64</v>
      </c>
      <c r="E22" s="36">
        <v>49.610050000000001</v>
      </c>
      <c r="F22" s="36"/>
      <c r="G22" s="36"/>
      <c r="H22" s="36"/>
      <c r="I22" s="36"/>
      <c r="J22" s="37">
        <f t="shared" si="0"/>
        <v>0</v>
      </c>
      <c r="L22" s="35"/>
      <c r="M22" s="36"/>
      <c r="N22" s="36"/>
      <c r="O22" s="36"/>
      <c r="P22" s="36"/>
      <c r="Q22" s="36"/>
      <c r="R22" s="37">
        <f t="shared" si="1"/>
        <v>0</v>
      </c>
      <c r="S22" s="20"/>
      <c r="T22" s="41"/>
      <c r="U22" s="42"/>
      <c r="V22" s="42"/>
      <c r="W22" s="41"/>
      <c r="X22" s="42"/>
      <c r="Y22" s="43"/>
    </row>
    <row r="23" spans="1:25" x14ac:dyDescent="0.2">
      <c r="A23" s="24"/>
      <c r="B23" s="13" t="s">
        <v>109</v>
      </c>
      <c r="C23" s="13">
        <v>22</v>
      </c>
      <c r="D23" s="14">
        <v>964.29600000000005</v>
      </c>
      <c r="E23" s="15">
        <v>51.407364999999999</v>
      </c>
      <c r="F23" s="15">
        <v>48.588783999999997</v>
      </c>
      <c r="G23" s="15">
        <v>50.951917999999999</v>
      </c>
      <c r="H23" s="15">
        <v>50.131785000000001</v>
      </c>
      <c r="I23" s="15"/>
      <c r="J23" s="16">
        <f t="shared" si="0"/>
        <v>1.3925495833333334E-2</v>
      </c>
      <c r="L23" s="14"/>
      <c r="M23" s="15"/>
      <c r="N23" s="15"/>
      <c r="O23" s="15"/>
      <c r="P23" s="15"/>
      <c r="Q23" s="15"/>
      <c r="R23" s="16">
        <f t="shared" si="1"/>
        <v>0</v>
      </c>
      <c r="S23" s="20"/>
      <c r="T23" s="21" t="e">
        <f>bdrate($D23:$D26,E23:E26,$L23:$L26,M23:M26)</f>
        <v>#VALUE!</v>
      </c>
      <c r="U23" s="22" t="e">
        <f>bdrate($D23:$D26,F23:F26,$L23:$L26,N23:N26)</f>
        <v>#VALUE!</v>
      </c>
      <c r="V23" s="22" t="e">
        <f>bdrate($D23:$D26,G23:G26,$L23:$L26,O23:O26)</f>
        <v>#VALUE!</v>
      </c>
      <c r="W23" s="44" t="e">
        <f>bdrateOld($D23:$D26,E23:E26,$L23:$L26,M23:M26)</f>
        <v>#VALUE!</v>
      </c>
      <c r="X23" s="45" t="e">
        <f>bdrateOld($D23:$D26,F23:F26,$L23:$L26,N23:N26)</f>
        <v>#VALUE!</v>
      </c>
      <c r="Y23" s="46" t="e">
        <f>bdrateOld($D23:$D26,G23:G26,$L23:$L26,O23:O26)</f>
        <v>#VALUE!</v>
      </c>
    </row>
    <row r="24" spans="1:25" x14ac:dyDescent="0.2">
      <c r="A24" s="24"/>
      <c r="B24" s="24" t="s">
        <v>114</v>
      </c>
      <c r="C24" s="24">
        <v>27</v>
      </c>
      <c r="D24" s="25">
        <v>395.536</v>
      </c>
      <c r="E24" s="26">
        <v>49.618063999999997</v>
      </c>
      <c r="F24" s="26">
        <v>45.702727000000003</v>
      </c>
      <c r="G24" s="26">
        <v>49.054521000000001</v>
      </c>
      <c r="H24" s="26">
        <v>47.759858999999999</v>
      </c>
      <c r="I24" s="26"/>
      <c r="J24" s="27">
        <f t="shared" si="0"/>
        <v>1.3266627499999999E-2</v>
      </c>
      <c r="L24" s="25"/>
      <c r="M24" s="26"/>
      <c r="N24" s="26"/>
      <c r="O24" s="26"/>
      <c r="P24" s="26"/>
      <c r="Q24" s="26"/>
      <c r="R24" s="27">
        <f t="shared" si="1"/>
        <v>0</v>
      </c>
      <c r="S24" s="20"/>
      <c r="T24" s="31"/>
      <c r="U24" s="32"/>
      <c r="V24" s="32"/>
      <c r="W24" s="31"/>
      <c r="X24" s="32"/>
      <c r="Y24" s="33"/>
    </row>
    <row r="25" spans="1:25" x14ac:dyDescent="0.2">
      <c r="A25" s="24"/>
      <c r="B25" s="24"/>
      <c r="C25" s="24">
        <v>32</v>
      </c>
      <c r="D25" s="25">
        <v>152.55199999999999</v>
      </c>
      <c r="E25" s="26">
        <v>47.793228999999997</v>
      </c>
      <c r="F25" s="26">
        <v>43.509216000000002</v>
      </c>
      <c r="G25" s="26">
        <v>47.407581999999998</v>
      </c>
      <c r="H25" s="26">
        <v>45.775157</v>
      </c>
      <c r="I25" s="26"/>
      <c r="J25" s="27">
        <f t="shared" si="0"/>
        <v>1.271532138888889E-2</v>
      </c>
      <c r="L25" s="25"/>
      <c r="M25" s="26"/>
      <c r="N25" s="26"/>
      <c r="O25" s="26"/>
      <c r="P25" s="26"/>
      <c r="Q25" s="26"/>
      <c r="R25" s="27">
        <f t="shared" si="1"/>
        <v>0</v>
      </c>
      <c r="S25" s="20"/>
      <c r="T25" s="31"/>
      <c r="U25" s="32"/>
      <c r="V25" s="32"/>
      <c r="W25" s="31"/>
      <c r="X25" s="32"/>
      <c r="Y25" s="33"/>
    </row>
    <row r="26" spans="1:25" ht="12.75" thickBot="1" x14ac:dyDescent="0.25">
      <c r="A26" s="24"/>
      <c r="B26" s="34"/>
      <c r="C26" s="34">
        <v>37</v>
      </c>
      <c r="D26" s="35">
        <v>62.887999999999998</v>
      </c>
      <c r="E26" s="36">
        <v>45.642387999999997</v>
      </c>
      <c r="F26" s="36">
        <v>41.927838000000001</v>
      </c>
      <c r="G26" s="36">
        <v>45.601509999999998</v>
      </c>
      <c r="H26" s="36">
        <v>44.017189000000002</v>
      </c>
      <c r="I26" s="36"/>
      <c r="J26" s="37">
        <f t="shared" si="0"/>
        <v>1.2226996944444445E-2</v>
      </c>
      <c r="L26" s="35"/>
      <c r="M26" s="36"/>
      <c r="N26" s="36"/>
      <c r="O26" s="36"/>
      <c r="P26" s="36"/>
      <c r="Q26" s="36"/>
      <c r="R26" s="37">
        <f t="shared" si="1"/>
        <v>0</v>
      </c>
      <c r="S26" s="20"/>
      <c r="T26" s="41"/>
      <c r="U26" s="42"/>
      <c r="V26" s="42"/>
      <c r="W26" s="41"/>
      <c r="X26" s="42"/>
      <c r="Y26" s="43"/>
    </row>
    <row r="27" spans="1:25" x14ac:dyDescent="0.2">
      <c r="A27" s="24"/>
      <c r="B27" s="13" t="s">
        <v>112</v>
      </c>
      <c r="C27" s="13">
        <v>22</v>
      </c>
      <c r="D27" s="14">
        <v>489.50400000000002</v>
      </c>
      <c r="E27" s="15">
        <v>52.304226</v>
      </c>
      <c r="F27" s="15">
        <v>522.90038300000003</v>
      </c>
      <c r="G27" s="15">
        <v>524.55162199999995</v>
      </c>
      <c r="H27" s="15">
        <v>50.584510999999999</v>
      </c>
      <c r="I27" s="15"/>
      <c r="J27" s="16">
        <f t="shared" si="0"/>
        <v>1.4051253055555555E-2</v>
      </c>
      <c r="L27" s="14"/>
      <c r="M27" s="15"/>
      <c r="N27" s="15"/>
      <c r="O27" s="15"/>
      <c r="P27" s="15"/>
      <c r="Q27" s="15"/>
      <c r="R27" s="16">
        <f t="shared" si="1"/>
        <v>0</v>
      </c>
      <c r="S27" s="20"/>
      <c r="T27" s="21" t="e">
        <f>bdrate($D27:$D30,E27:E30,$L27:$L30,M27:M30)</f>
        <v>#VALUE!</v>
      </c>
      <c r="U27" s="22" t="e">
        <f>bdrate($D27:$D30,F27:F30,$L27:$L30,N27:N30)</f>
        <v>#VALUE!</v>
      </c>
      <c r="V27" s="22" t="e">
        <f>bdrate($D27:$D30,G27:G30,$L27:$L30,O27:O30)</f>
        <v>#VALUE!</v>
      </c>
      <c r="W27" s="44" t="e">
        <f>bdrateOld($D27:$D30,E27:E30,$L27:$L30,M27:M30)</f>
        <v>#VALUE!</v>
      </c>
      <c r="X27" s="45" t="e">
        <f>bdrateOld($D27:$D30,F27:F30,$L27:$L30,N27:N30)</f>
        <v>#VALUE!</v>
      </c>
      <c r="Y27" s="46" t="e">
        <f>bdrateOld($D27:$D30,G27:G30,$L27:$L30,O27:O30)</f>
        <v>#VALUE!</v>
      </c>
    </row>
    <row r="28" spans="1:25" x14ac:dyDescent="0.2">
      <c r="A28" s="24"/>
      <c r="B28" s="24"/>
      <c r="C28" s="24">
        <v>27</v>
      </c>
      <c r="D28" s="25">
        <v>157.04</v>
      </c>
      <c r="E28" s="26">
        <v>50.416220000000003</v>
      </c>
      <c r="F28" s="26">
        <v>521.50244399999997</v>
      </c>
      <c r="G28" s="26">
        <v>523.45387900000003</v>
      </c>
      <c r="H28" s="26">
        <v>48.070188000000002</v>
      </c>
      <c r="I28" s="26"/>
      <c r="J28" s="27">
        <f t="shared" si="0"/>
        <v>1.3352830000000001E-2</v>
      </c>
      <c r="L28" s="25"/>
      <c r="M28" s="26"/>
      <c r="N28" s="26"/>
      <c r="O28" s="26"/>
      <c r="P28" s="26"/>
      <c r="Q28" s="26"/>
      <c r="R28" s="27">
        <f t="shared" si="1"/>
        <v>0</v>
      </c>
      <c r="S28" s="20"/>
      <c r="T28" s="31"/>
      <c r="U28" s="32"/>
      <c r="V28" s="32"/>
      <c r="W28" s="31"/>
      <c r="X28" s="32"/>
      <c r="Y28" s="33"/>
    </row>
    <row r="29" spans="1:25" x14ac:dyDescent="0.2">
      <c r="A29" s="24"/>
      <c r="B29" s="24" t="s">
        <v>116</v>
      </c>
      <c r="C29" s="24">
        <v>32</v>
      </c>
      <c r="D29" s="25">
        <v>62.008000000000003</v>
      </c>
      <c r="E29" s="26">
        <v>48.070822</v>
      </c>
      <c r="F29" s="26">
        <v>66.117838000000006</v>
      </c>
      <c r="G29" s="26">
        <v>67.853753999999995</v>
      </c>
      <c r="H29" s="26">
        <v>45.838985999999998</v>
      </c>
      <c r="I29" s="26"/>
      <c r="J29" s="27">
        <f t="shared" si="0"/>
        <v>1.2733051666666667E-2</v>
      </c>
      <c r="L29" s="25"/>
      <c r="M29" s="26"/>
      <c r="N29" s="26"/>
      <c r="O29" s="26"/>
      <c r="P29" s="26"/>
      <c r="Q29" s="26"/>
      <c r="R29" s="27">
        <f t="shared" si="1"/>
        <v>0</v>
      </c>
      <c r="S29" s="20"/>
      <c r="T29" s="31"/>
      <c r="U29" s="32"/>
      <c r="V29" s="32"/>
      <c r="W29" s="31"/>
      <c r="X29" s="32"/>
      <c r="Y29" s="33"/>
    </row>
    <row r="30" spans="1:25" ht="12.75" thickBot="1" x14ac:dyDescent="0.25">
      <c r="A30" s="24"/>
      <c r="B30" s="34"/>
      <c r="C30" s="34">
        <v>37</v>
      </c>
      <c r="D30" s="35">
        <v>30.687999999999999</v>
      </c>
      <c r="E30" s="36">
        <v>45.670332000000002</v>
      </c>
      <c r="F30" s="36">
        <v>519.60729900000001</v>
      </c>
      <c r="G30" s="36">
        <v>521.00330799999995</v>
      </c>
      <c r="H30" s="36">
        <v>43.572356999999997</v>
      </c>
      <c r="I30" s="36"/>
      <c r="J30" s="37">
        <f t="shared" si="0"/>
        <v>1.2103432499999999E-2</v>
      </c>
      <c r="L30" s="35"/>
      <c r="M30" s="36"/>
      <c r="N30" s="36"/>
      <c r="O30" s="36"/>
      <c r="P30" s="36"/>
      <c r="Q30" s="36"/>
      <c r="R30" s="37">
        <f t="shared" si="1"/>
        <v>0</v>
      </c>
      <c r="S30" s="20"/>
      <c r="T30" s="41"/>
      <c r="U30" s="42"/>
      <c r="V30" s="42"/>
      <c r="W30" s="41"/>
      <c r="X30" s="42"/>
      <c r="Y30" s="43"/>
    </row>
    <row r="31" spans="1:25" x14ac:dyDescent="0.2">
      <c r="A31" s="24"/>
      <c r="B31" s="13" t="s">
        <v>113</v>
      </c>
      <c r="C31" s="13">
        <v>22</v>
      </c>
      <c r="D31" s="14">
        <v>1062.752</v>
      </c>
      <c r="E31" s="15">
        <v>52.486457000000001</v>
      </c>
      <c r="F31" s="15">
        <v>65.877612999999997</v>
      </c>
      <c r="G31" s="15">
        <v>67.841241999999994</v>
      </c>
      <c r="H31" s="15">
        <v>52.665635000000002</v>
      </c>
      <c r="I31" s="15"/>
      <c r="J31" s="16">
        <f t="shared" si="0"/>
        <v>1.4629343055555556E-2</v>
      </c>
      <c r="L31" s="14"/>
      <c r="M31" s="15"/>
      <c r="N31" s="15"/>
      <c r="O31" s="15"/>
      <c r="P31" s="15"/>
      <c r="Q31" s="15"/>
      <c r="R31" s="16">
        <f t="shared" si="1"/>
        <v>0</v>
      </c>
      <c r="S31" s="20"/>
      <c r="T31" s="21" t="e">
        <f>bdrate($D31:$D34,E31:E34,$L31:$L34,M31:M34)</f>
        <v>#VALUE!</v>
      </c>
      <c r="U31" s="22" t="e">
        <f>bdrate($D31:$D34,F31:F34,$L31:$L34,N31:N34)</f>
        <v>#VALUE!</v>
      </c>
      <c r="V31" s="22" t="e">
        <f>bdrate($D31:$D34,G31:G34,$L31:$L34,O31:O34)</f>
        <v>#VALUE!</v>
      </c>
      <c r="W31" s="44" t="e">
        <f>bdrateOld($D31:$D34,E31:E34,$L31:$L34,M31:M34)</f>
        <v>#VALUE!</v>
      </c>
      <c r="X31" s="45" t="e">
        <f>bdrateOld($D31:$D34,F31:F34,$L31:$L34,N31:N34)</f>
        <v>#VALUE!</v>
      </c>
      <c r="Y31" s="46" t="e">
        <f>bdrateOld($D31:$D34,G31:G34,$L31:$L34,O31:O34)</f>
        <v>#VALUE!</v>
      </c>
    </row>
    <row r="32" spans="1:25" x14ac:dyDescent="0.2">
      <c r="A32" s="24"/>
      <c r="B32" s="24"/>
      <c r="C32" s="24">
        <v>27</v>
      </c>
      <c r="D32" s="25">
        <v>445.28</v>
      </c>
      <c r="E32" s="26">
        <v>50.466293999999998</v>
      </c>
      <c r="F32" s="26">
        <v>53.378602000000001</v>
      </c>
      <c r="G32" s="26">
        <v>55.284129999999998</v>
      </c>
      <c r="H32" s="26">
        <v>50.196227999999998</v>
      </c>
      <c r="I32" s="26"/>
      <c r="J32" s="27">
        <f t="shared" si="0"/>
        <v>1.3943396666666667E-2</v>
      </c>
      <c r="L32" s="25"/>
      <c r="M32" s="26"/>
      <c r="N32" s="26"/>
      <c r="O32" s="26"/>
      <c r="P32" s="26"/>
      <c r="Q32" s="26"/>
      <c r="R32" s="27">
        <f t="shared" si="1"/>
        <v>0</v>
      </c>
      <c r="S32" s="20"/>
      <c r="T32" s="31"/>
      <c r="U32" s="32"/>
      <c r="V32" s="32"/>
      <c r="W32" s="31"/>
      <c r="X32" s="32"/>
      <c r="Y32" s="33"/>
    </row>
    <row r="33" spans="1:25" x14ac:dyDescent="0.2">
      <c r="A33" s="24"/>
      <c r="B33" s="24" t="s">
        <v>116</v>
      </c>
      <c r="C33" s="24">
        <v>32</v>
      </c>
      <c r="D33" s="25">
        <v>180.55199999999999</v>
      </c>
      <c r="E33" s="26">
        <v>48.083607999999998</v>
      </c>
      <c r="F33" s="26">
        <v>47.559981000000001</v>
      </c>
      <c r="G33" s="26">
        <v>50.600732999999998</v>
      </c>
      <c r="H33" s="26">
        <v>47.655839</v>
      </c>
      <c r="I33" s="26"/>
      <c r="J33" s="27">
        <f t="shared" si="0"/>
        <v>1.3237733055555556E-2</v>
      </c>
      <c r="L33" s="25"/>
      <c r="M33" s="26"/>
      <c r="N33" s="26"/>
      <c r="O33" s="26"/>
      <c r="P33" s="26"/>
      <c r="Q33" s="26"/>
      <c r="R33" s="27">
        <f t="shared" si="1"/>
        <v>0</v>
      </c>
      <c r="S33" s="20"/>
      <c r="T33" s="31"/>
      <c r="U33" s="32"/>
      <c r="V33" s="32"/>
      <c r="W33" s="31"/>
      <c r="X33" s="32"/>
      <c r="Y33" s="33"/>
    </row>
    <row r="34" spans="1:25" ht="12.75" thickBot="1" x14ac:dyDescent="0.25">
      <c r="A34" s="24"/>
      <c r="B34" s="34"/>
      <c r="C34" s="34">
        <v>37</v>
      </c>
      <c r="D34" s="35">
        <v>77.352000000000004</v>
      </c>
      <c r="E34" s="36">
        <v>45.148584999999997</v>
      </c>
      <c r="F34" s="36">
        <v>43.725599000000003</v>
      </c>
      <c r="G34" s="36">
        <v>45.649464999999999</v>
      </c>
      <c r="H34" s="36">
        <v>44.601197999999997</v>
      </c>
      <c r="I34" s="36"/>
      <c r="J34" s="37">
        <f t="shared" si="0"/>
        <v>1.2389221666666665E-2</v>
      </c>
      <c r="L34" s="35"/>
      <c r="M34" s="36"/>
      <c r="N34" s="36"/>
      <c r="O34" s="36"/>
      <c r="P34" s="36"/>
      <c r="Q34" s="36"/>
      <c r="R34" s="37">
        <f t="shared" si="1"/>
        <v>0</v>
      </c>
      <c r="S34" s="20"/>
      <c r="T34" s="41"/>
      <c r="U34" s="42"/>
      <c r="V34" s="42"/>
      <c r="W34" s="41"/>
      <c r="X34" s="42"/>
      <c r="Y34" s="43"/>
    </row>
    <row r="35" spans="1:25" x14ac:dyDescent="0.2">
      <c r="A35" s="24"/>
      <c r="B35" s="13" t="s">
        <v>127</v>
      </c>
      <c r="C35" s="13">
        <v>22</v>
      </c>
      <c r="D35" s="14">
        <v>1808.9280000000001</v>
      </c>
      <c r="E35" s="15">
        <v>44.816625999999999</v>
      </c>
      <c r="F35" s="15"/>
      <c r="G35" s="15"/>
      <c r="H35" s="15"/>
      <c r="I35" s="15"/>
      <c r="J35" s="16">
        <f t="shared" si="0"/>
        <v>0</v>
      </c>
      <c r="L35" s="14"/>
      <c r="M35" s="15"/>
      <c r="N35" s="15"/>
      <c r="O35" s="15"/>
      <c r="P35" s="15"/>
      <c r="Q35" s="15"/>
      <c r="R35" s="16">
        <f t="shared" si="1"/>
        <v>0</v>
      </c>
      <c r="S35" s="20"/>
      <c r="T35" s="21" t="e">
        <f>bdrate($D35:$D38,E35:E38,$L35:$L38,M35:M38)</f>
        <v>#VALUE!</v>
      </c>
      <c r="U35" s="22" t="e">
        <f>bdrate($D35:$D38,F35:F38,$L35:$L38,N35:N38)</f>
        <v>#VALUE!</v>
      </c>
      <c r="V35" s="22" t="e">
        <f>bdrate($D35:$D38,G35:G38,$L35:$L38,O35:O38)</f>
        <v>#VALUE!</v>
      </c>
      <c r="W35" s="44" t="e">
        <f>bdrateOld($D35:$D38,E35:E38,$L35:$L38,M35:M38)</f>
        <v>#VALUE!</v>
      </c>
      <c r="X35" s="45" t="e">
        <f>bdrateOld($D35:$D38,F35:F38,$L35:$L38,N35:N38)</f>
        <v>#VALUE!</v>
      </c>
      <c r="Y35" s="46" t="e">
        <f>bdrateOld($D35:$D38,G35:G38,$L35:$L38,O35:O38)</f>
        <v>#VALUE!</v>
      </c>
    </row>
    <row r="36" spans="1:25" x14ac:dyDescent="0.2">
      <c r="A36" s="24"/>
      <c r="B36" s="152">
        <v>400</v>
      </c>
      <c r="C36" s="24">
        <v>27</v>
      </c>
      <c r="D36" s="25">
        <v>478</v>
      </c>
      <c r="E36" s="26">
        <v>42.637417999999997</v>
      </c>
      <c r="F36" s="26"/>
      <c r="G36" s="26"/>
      <c r="H36" s="26"/>
      <c r="I36" s="26"/>
      <c r="J36" s="27">
        <f t="shared" si="0"/>
        <v>0</v>
      </c>
      <c r="L36" s="25"/>
      <c r="M36" s="26"/>
      <c r="N36" s="26"/>
      <c r="O36" s="26"/>
      <c r="P36" s="26"/>
      <c r="Q36" s="26"/>
      <c r="R36" s="27">
        <f t="shared" si="1"/>
        <v>0</v>
      </c>
      <c r="S36" s="20"/>
      <c r="T36" s="31"/>
      <c r="U36" s="32"/>
      <c r="V36" s="32"/>
      <c r="W36" s="31"/>
      <c r="X36" s="32"/>
      <c r="Y36" s="33"/>
    </row>
    <row r="37" spans="1:25" x14ac:dyDescent="0.2">
      <c r="A37" s="24"/>
      <c r="B37" s="24" t="s">
        <v>128</v>
      </c>
      <c r="C37" s="24">
        <v>32</v>
      </c>
      <c r="D37" s="25">
        <v>148.96799999999999</v>
      </c>
      <c r="E37" s="26">
        <v>41.092489</v>
      </c>
      <c r="F37" s="26"/>
      <c r="G37" s="26"/>
      <c r="H37" s="26"/>
      <c r="I37" s="26"/>
      <c r="J37" s="27">
        <f t="shared" si="0"/>
        <v>0</v>
      </c>
      <c r="L37" s="25"/>
      <c r="M37" s="26"/>
      <c r="N37" s="26"/>
      <c r="O37" s="26"/>
      <c r="P37" s="26"/>
      <c r="Q37" s="26"/>
      <c r="R37" s="27">
        <f t="shared" si="1"/>
        <v>0</v>
      </c>
      <c r="S37" s="20"/>
      <c r="T37" s="31"/>
      <c r="U37" s="32"/>
      <c r="V37" s="32"/>
      <c r="W37" s="31"/>
      <c r="X37" s="32"/>
      <c r="Y37" s="33"/>
    </row>
    <row r="38" spans="1:25" ht="12.75" thickBot="1" x14ac:dyDescent="0.25">
      <c r="A38" s="24"/>
      <c r="B38" s="34"/>
      <c r="C38" s="34">
        <v>37</v>
      </c>
      <c r="D38" s="35">
        <v>73.391999999999996</v>
      </c>
      <c r="E38" s="36">
        <v>39.610737</v>
      </c>
      <c r="F38" s="36"/>
      <c r="G38" s="36"/>
      <c r="H38" s="36"/>
      <c r="I38" s="36"/>
      <c r="J38" s="37">
        <f t="shared" si="0"/>
        <v>0</v>
      </c>
      <c r="L38" s="35"/>
      <c r="M38" s="36"/>
      <c r="N38" s="36"/>
      <c r="O38" s="36"/>
      <c r="P38" s="36"/>
      <c r="Q38" s="36"/>
      <c r="R38" s="37">
        <f t="shared" si="1"/>
        <v>0</v>
      </c>
      <c r="S38" s="20"/>
      <c r="T38" s="41"/>
      <c r="U38" s="42"/>
      <c r="V38" s="42"/>
      <c r="W38" s="41"/>
      <c r="X38" s="42"/>
      <c r="Y38" s="43"/>
    </row>
    <row r="39" spans="1:25" x14ac:dyDescent="0.2">
      <c r="A39" s="24"/>
      <c r="B39" s="13"/>
      <c r="C39" s="13">
        <v>22</v>
      </c>
      <c r="D39" s="14"/>
      <c r="E39" s="15"/>
      <c r="F39" s="15"/>
      <c r="G39" s="15"/>
      <c r="H39" s="15"/>
      <c r="I39" s="15"/>
      <c r="J39" s="16">
        <f t="shared" si="0"/>
        <v>0</v>
      </c>
      <c r="L39" s="14"/>
      <c r="M39" s="15"/>
      <c r="N39" s="15"/>
      <c r="O39" s="15"/>
      <c r="P39" s="15"/>
      <c r="Q39" s="15"/>
      <c r="R39" s="16">
        <f t="shared" si="1"/>
        <v>0</v>
      </c>
      <c r="S39" s="20"/>
      <c r="T39" s="21" t="e">
        <f>bdrate($D39:$D42,E39:E42,$L39:$L42,M39:M42)</f>
        <v>#VALUE!</v>
      </c>
      <c r="U39" s="22" t="e">
        <f>bdrate($D39:$D42,F39:F42,$L39:$L42,N39:N42)</f>
        <v>#VALUE!</v>
      </c>
      <c r="V39" s="22" t="e">
        <f>bdrate($D39:$D42,G39:G42,$L39:$L42,O39:O42)</f>
        <v>#VALUE!</v>
      </c>
      <c r="W39" s="44" t="e">
        <f>bdrateOld($D39:$D42,E39:E42,$L39:$L42,M39:M42)</f>
        <v>#VALUE!</v>
      </c>
      <c r="X39" s="45" t="e">
        <f>bdrateOld($D39:$D42,F39:F42,$L39:$L42,N39:N42)</f>
        <v>#VALUE!</v>
      </c>
      <c r="Y39" s="46" t="e">
        <f>bdrateOld($D39:$D42,G39:G42,$L39:$L42,O39:O42)</f>
        <v>#VALUE!</v>
      </c>
    </row>
    <row r="40" spans="1:25" x14ac:dyDescent="0.2">
      <c r="A40" s="24"/>
      <c r="B40" s="152"/>
      <c r="C40" s="24">
        <v>27</v>
      </c>
      <c r="D40" s="25"/>
      <c r="E40" s="26"/>
      <c r="F40" s="26"/>
      <c r="G40" s="26"/>
      <c r="H40" s="26"/>
      <c r="I40" s="26"/>
      <c r="J40" s="27">
        <f t="shared" si="0"/>
        <v>0</v>
      </c>
      <c r="L40" s="25"/>
      <c r="M40" s="26"/>
      <c r="N40" s="26"/>
      <c r="O40" s="26"/>
      <c r="P40" s="26"/>
      <c r="Q40" s="26"/>
      <c r="R40" s="27">
        <f t="shared" si="1"/>
        <v>0</v>
      </c>
      <c r="S40" s="20"/>
      <c r="T40" s="31"/>
      <c r="U40" s="32"/>
      <c r="V40" s="32"/>
      <c r="W40" s="31"/>
      <c r="X40" s="32"/>
      <c r="Y40" s="33"/>
    </row>
    <row r="41" spans="1:25" x14ac:dyDescent="0.2">
      <c r="A41" s="24"/>
      <c r="B41" s="24"/>
      <c r="C41" s="24">
        <v>32</v>
      </c>
      <c r="D41" s="25"/>
      <c r="E41" s="26"/>
      <c r="F41" s="26"/>
      <c r="G41" s="26"/>
      <c r="H41" s="26"/>
      <c r="I41" s="26"/>
      <c r="J41" s="27">
        <f t="shared" si="0"/>
        <v>0</v>
      </c>
      <c r="L41" s="25"/>
      <c r="M41" s="26"/>
      <c r="N41" s="26"/>
      <c r="O41" s="26"/>
      <c r="P41" s="26"/>
      <c r="Q41" s="26"/>
      <c r="R41" s="27">
        <f t="shared" si="1"/>
        <v>0</v>
      </c>
      <c r="S41" s="20"/>
      <c r="T41" s="31"/>
      <c r="U41" s="32"/>
      <c r="V41" s="32"/>
      <c r="W41" s="31"/>
      <c r="X41" s="32"/>
      <c r="Y41" s="33"/>
    </row>
    <row r="42" spans="1:25" ht="12.75" thickBot="1" x14ac:dyDescent="0.25">
      <c r="A42" s="24"/>
      <c r="B42" s="34"/>
      <c r="C42" s="34">
        <v>37</v>
      </c>
      <c r="D42" s="35"/>
      <c r="E42" s="36"/>
      <c r="F42" s="36"/>
      <c r="G42" s="36"/>
      <c r="H42" s="36"/>
      <c r="I42" s="36"/>
      <c r="J42" s="37">
        <f t="shared" si="0"/>
        <v>0</v>
      </c>
      <c r="L42" s="35"/>
      <c r="M42" s="36"/>
      <c r="N42" s="36"/>
      <c r="O42" s="36"/>
      <c r="P42" s="36"/>
      <c r="Q42" s="36"/>
      <c r="R42" s="37">
        <f t="shared" si="1"/>
        <v>0</v>
      </c>
      <c r="S42" s="20"/>
      <c r="T42" s="41"/>
      <c r="U42" s="42"/>
      <c r="V42" s="42"/>
      <c r="W42" s="41"/>
      <c r="X42" s="42"/>
      <c r="Y42" s="43"/>
    </row>
    <row r="43" spans="1:25" x14ac:dyDescent="0.2">
      <c r="A43" s="24"/>
      <c r="B43" s="13"/>
      <c r="C43" s="13">
        <v>22</v>
      </c>
      <c r="D43" s="14"/>
      <c r="E43" s="15"/>
      <c r="F43" s="15"/>
      <c r="G43" s="15"/>
      <c r="H43" s="15"/>
      <c r="I43" s="15"/>
      <c r="J43" s="16">
        <f t="shared" si="0"/>
        <v>0</v>
      </c>
      <c r="L43" s="14"/>
      <c r="M43" s="15"/>
      <c r="N43" s="15"/>
      <c r="O43" s="15"/>
      <c r="P43" s="15"/>
      <c r="Q43" s="15"/>
      <c r="R43" s="16">
        <f t="shared" si="1"/>
        <v>0</v>
      </c>
      <c r="S43" s="20"/>
      <c r="T43" s="21" t="e">
        <f>bdrate($D43:$D46,E43:E46,$L43:$L46,M43:M46)</f>
        <v>#VALUE!</v>
      </c>
      <c r="U43" s="22" t="e">
        <f>bdrate($D43:$D46,F43:F46,$L43:$L46,N43:N46)</f>
        <v>#VALUE!</v>
      </c>
      <c r="V43" s="22" t="e">
        <f>bdrate($D43:$D46,G43:G46,$L43:$L46,O43:O46)</f>
        <v>#VALUE!</v>
      </c>
      <c r="W43" s="44" t="e">
        <f>bdrateOld($D43:$D46,E43:E46,$L43:$L46,M43:M46)</f>
        <v>#VALUE!</v>
      </c>
      <c r="X43" s="45" t="e">
        <f>bdrateOld($D43:$D46,F43:F46,$L43:$L46,N43:N46)</f>
        <v>#VALUE!</v>
      </c>
      <c r="Y43" s="46" t="e">
        <f>bdrateOld($D43:$D46,G43:G46,$L43:$L46,O43:O46)</f>
        <v>#VALUE!</v>
      </c>
    </row>
    <row r="44" spans="1:25" x14ac:dyDescent="0.2">
      <c r="A44" s="24"/>
      <c r="B44" s="24"/>
      <c r="C44" s="24">
        <v>27</v>
      </c>
      <c r="D44" s="25"/>
      <c r="E44" s="26"/>
      <c r="F44" s="26"/>
      <c r="G44" s="26"/>
      <c r="H44" s="26"/>
      <c r="I44" s="26"/>
      <c r="J44" s="27">
        <f t="shared" si="0"/>
        <v>0</v>
      </c>
      <c r="L44" s="25"/>
      <c r="M44" s="26"/>
      <c r="N44" s="26"/>
      <c r="O44" s="26"/>
      <c r="P44" s="26"/>
      <c r="Q44" s="26"/>
      <c r="R44" s="27">
        <f t="shared" si="1"/>
        <v>0</v>
      </c>
      <c r="S44" s="20"/>
      <c r="T44" s="31"/>
      <c r="U44" s="32"/>
      <c r="V44" s="32"/>
      <c r="W44" s="31"/>
      <c r="X44" s="32"/>
      <c r="Y44" s="33"/>
    </row>
    <row r="45" spans="1:25" x14ac:dyDescent="0.2">
      <c r="A45" s="24"/>
      <c r="B45" s="24"/>
      <c r="C45" s="24">
        <v>32</v>
      </c>
      <c r="D45" s="25"/>
      <c r="E45" s="26"/>
      <c r="F45" s="26"/>
      <c r="G45" s="26"/>
      <c r="H45" s="26"/>
      <c r="I45" s="26"/>
      <c r="J45" s="27">
        <f t="shared" si="0"/>
        <v>0</v>
      </c>
      <c r="L45" s="25"/>
      <c r="M45" s="26"/>
      <c r="N45" s="26"/>
      <c r="O45" s="26"/>
      <c r="P45" s="26"/>
      <c r="Q45" s="26"/>
      <c r="R45" s="27">
        <f t="shared" si="1"/>
        <v>0</v>
      </c>
      <c r="S45" s="20"/>
      <c r="T45" s="31"/>
      <c r="U45" s="32"/>
      <c r="V45" s="32"/>
      <c r="W45" s="31"/>
      <c r="X45" s="32"/>
      <c r="Y45" s="33"/>
    </row>
    <row r="46" spans="1:25" ht="12.75" thickBot="1" x14ac:dyDescent="0.25">
      <c r="A46" s="24"/>
      <c r="B46" s="34"/>
      <c r="C46" s="34">
        <v>37</v>
      </c>
      <c r="D46" s="35"/>
      <c r="E46" s="36"/>
      <c r="F46" s="36"/>
      <c r="G46" s="36"/>
      <c r="H46" s="36"/>
      <c r="I46" s="36"/>
      <c r="J46" s="37">
        <f t="shared" si="0"/>
        <v>0</v>
      </c>
      <c r="L46" s="35"/>
      <c r="M46" s="36"/>
      <c r="N46" s="36"/>
      <c r="O46" s="36"/>
      <c r="P46" s="36"/>
      <c r="Q46" s="36"/>
      <c r="R46" s="37">
        <f t="shared" si="1"/>
        <v>0</v>
      </c>
      <c r="S46" s="20"/>
      <c r="T46" s="41"/>
      <c r="U46" s="42"/>
      <c r="V46" s="42"/>
      <c r="W46" s="41"/>
      <c r="X46" s="42"/>
      <c r="Y46" s="43"/>
    </row>
    <row r="47" spans="1:25" x14ac:dyDescent="0.2">
      <c r="A47" s="24"/>
      <c r="B47" s="13"/>
      <c r="C47" s="13">
        <v>22</v>
      </c>
      <c r="D47" s="14"/>
      <c r="E47" s="15"/>
      <c r="F47" s="15"/>
      <c r="G47" s="15"/>
      <c r="H47" s="15"/>
      <c r="I47" s="15"/>
      <c r="J47" s="16">
        <f t="shared" si="0"/>
        <v>0</v>
      </c>
      <c r="L47" s="14"/>
      <c r="M47" s="15"/>
      <c r="N47" s="15"/>
      <c r="O47" s="15"/>
      <c r="P47" s="15"/>
      <c r="Q47" s="15"/>
      <c r="R47" s="16">
        <f t="shared" si="1"/>
        <v>0</v>
      </c>
      <c r="S47" s="20"/>
      <c r="T47" s="21" t="e">
        <f>bdrate($D47:$D50,E47:E50,$L47:$L50,M47:M50)</f>
        <v>#VALUE!</v>
      </c>
      <c r="U47" s="22" t="e">
        <f>bdrate($D47:$D50,F47:F50,$L47:$L50,N47:N50)</f>
        <v>#VALUE!</v>
      </c>
      <c r="V47" s="22" t="e">
        <f>bdrate($D47:$D50,G47:G50,$L47:$L50,O47:O50)</f>
        <v>#VALUE!</v>
      </c>
      <c r="W47" s="44" t="e">
        <f>bdrateOld($D47:$D50,E47:E50,$L47:$L50,M47:M50)</f>
        <v>#VALUE!</v>
      </c>
      <c r="X47" s="45" t="e">
        <f>bdrateOld($D47:$D50,F47:F50,$L47:$L50,N47:N50)</f>
        <v>#VALUE!</v>
      </c>
      <c r="Y47" s="46" t="e">
        <f>bdrateOld($D47:$D50,G47:G50,$L47:$L50,O47:O50)</f>
        <v>#VALUE!</v>
      </c>
    </row>
    <row r="48" spans="1:25" x14ac:dyDescent="0.2">
      <c r="A48" s="24"/>
      <c r="B48" s="24"/>
      <c r="C48" s="24">
        <v>27</v>
      </c>
      <c r="D48" s="25"/>
      <c r="E48" s="26"/>
      <c r="F48" s="26"/>
      <c r="G48" s="26"/>
      <c r="H48" s="26"/>
      <c r="I48" s="26"/>
      <c r="J48" s="27">
        <f t="shared" si="0"/>
        <v>0</v>
      </c>
      <c r="L48" s="25"/>
      <c r="M48" s="26"/>
      <c r="N48" s="26"/>
      <c r="O48" s="26"/>
      <c r="P48" s="26"/>
      <c r="Q48" s="26"/>
      <c r="R48" s="27">
        <f t="shared" si="1"/>
        <v>0</v>
      </c>
      <c r="S48" s="20"/>
      <c r="T48" s="31"/>
      <c r="U48" s="32"/>
      <c r="V48" s="32"/>
      <c r="W48" s="31"/>
      <c r="X48" s="32"/>
      <c r="Y48" s="33"/>
    </row>
    <row r="49" spans="1:25" x14ac:dyDescent="0.2">
      <c r="A49" s="24"/>
      <c r="B49" s="24"/>
      <c r="C49" s="24">
        <v>32</v>
      </c>
      <c r="D49" s="25"/>
      <c r="E49" s="26"/>
      <c r="F49" s="26"/>
      <c r="G49" s="26"/>
      <c r="H49" s="26"/>
      <c r="I49" s="26"/>
      <c r="J49" s="27">
        <f t="shared" si="0"/>
        <v>0</v>
      </c>
      <c r="L49" s="25"/>
      <c r="M49" s="26"/>
      <c r="N49" s="26"/>
      <c r="O49" s="26"/>
      <c r="P49" s="26"/>
      <c r="Q49" s="26"/>
      <c r="R49" s="27">
        <f t="shared" si="1"/>
        <v>0</v>
      </c>
      <c r="S49" s="20"/>
      <c r="T49" s="31"/>
      <c r="U49" s="32"/>
      <c r="V49" s="32"/>
      <c r="W49" s="31"/>
      <c r="X49" s="32"/>
      <c r="Y49" s="33"/>
    </row>
    <row r="50" spans="1:25" ht="12.75" thickBot="1" x14ac:dyDescent="0.25">
      <c r="A50" s="24"/>
      <c r="B50" s="34"/>
      <c r="C50" s="34">
        <v>37</v>
      </c>
      <c r="D50" s="35"/>
      <c r="E50" s="36"/>
      <c r="F50" s="36"/>
      <c r="G50" s="36"/>
      <c r="H50" s="36"/>
      <c r="I50" s="36"/>
      <c r="J50" s="37">
        <f t="shared" si="0"/>
        <v>0</v>
      </c>
      <c r="L50" s="35"/>
      <c r="M50" s="36"/>
      <c r="N50" s="36"/>
      <c r="O50" s="36"/>
      <c r="P50" s="36"/>
      <c r="Q50" s="36"/>
      <c r="R50" s="37">
        <f t="shared" si="1"/>
        <v>0</v>
      </c>
      <c r="S50" s="20"/>
      <c r="T50" s="41"/>
      <c r="U50" s="42"/>
      <c r="V50" s="42"/>
      <c r="W50" s="41"/>
      <c r="X50" s="42"/>
      <c r="Y50" s="43"/>
    </row>
    <row r="51" spans="1:25" x14ac:dyDescent="0.2">
      <c r="A51" s="24"/>
      <c r="B51" s="13"/>
      <c r="C51" s="13">
        <v>22</v>
      </c>
      <c r="D51" s="14"/>
      <c r="E51" s="15"/>
      <c r="F51" s="15"/>
      <c r="G51" s="15"/>
      <c r="H51" s="15"/>
      <c r="I51" s="15"/>
      <c r="J51" s="16">
        <f t="shared" si="0"/>
        <v>0</v>
      </c>
      <c r="L51" s="14"/>
      <c r="M51" s="15"/>
      <c r="N51" s="15"/>
      <c r="O51" s="15"/>
      <c r="P51" s="15"/>
      <c r="Q51" s="15"/>
      <c r="R51" s="16">
        <f t="shared" si="1"/>
        <v>0</v>
      </c>
      <c r="S51" s="20"/>
      <c r="T51" s="21" t="e">
        <f>bdrate($D51:$D54,E51:E54,$L51:$L54,M51:M54)</f>
        <v>#VALUE!</v>
      </c>
      <c r="U51" s="22" t="e">
        <f>bdrate($D51:$D54,F51:F54,$L51:$L54,N51:N54)</f>
        <v>#VALUE!</v>
      </c>
      <c r="V51" s="22" t="e">
        <f>bdrate($D51:$D54,G51:G54,$L51:$L54,O51:O54)</f>
        <v>#VALUE!</v>
      </c>
      <c r="W51" s="44" t="e">
        <f>bdrateOld($D51:$D54,E51:E54,$L51:$L54,M51:M54)</f>
        <v>#VALUE!</v>
      </c>
      <c r="X51" s="45" t="e">
        <f>bdrateOld($D51:$D54,F51:F54,$L51:$L54,N51:N54)</f>
        <v>#VALUE!</v>
      </c>
      <c r="Y51" s="46" t="e">
        <f>bdrateOld($D51:$D54,G51:G54,$L51:$L54,O51:O54)</f>
        <v>#VALUE!</v>
      </c>
    </row>
    <row r="52" spans="1:25" x14ac:dyDescent="0.2">
      <c r="A52" s="24"/>
      <c r="B52" s="24"/>
      <c r="C52" s="24">
        <v>27</v>
      </c>
      <c r="D52" s="25"/>
      <c r="E52" s="26"/>
      <c r="F52" s="26"/>
      <c r="G52" s="26"/>
      <c r="H52" s="26"/>
      <c r="I52" s="26"/>
      <c r="J52" s="27">
        <f t="shared" si="0"/>
        <v>0</v>
      </c>
      <c r="L52" s="25"/>
      <c r="M52" s="26"/>
      <c r="N52" s="26"/>
      <c r="O52" s="26"/>
      <c r="P52" s="26"/>
      <c r="Q52" s="26"/>
      <c r="R52" s="27">
        <f t="shared" si="1"/>
        <v>0</v>
      </c>
      <c r="S52" s="20"/>
      <c r="T52" s="31"/>
      <c r="U52" s="32"/>
      <c r="V52" s="32"/>
      <c r="W52" s="31"/>
      <c r="X52" s="32"/>
      <c r="Y52" s="33"/>
    </row>
    <row r="53" spans="1:25" x14ac:dyDescent="0.2">
      <c r="A53" s="24"/>
      <c r="B53" s="24"/>
      <c r="C53" s="24">
        <v>32</v>
      </c>
      <c r="D53" s="25"/>
      <c r="E53" s="26"/>
      <c r="F53" s="26"/>
      <c r="G53" s="26"/>
      <c r="H53" s="26"/>
      <c r="I53" s="26"/>
      <c r="J53" s="27">
        <f t="shared" si="0"/>
        <v>0</v>
      </c>
      <c r="L53" s="25"/>
      <c r="M53" s="26"/>
      <c r="N53" s="26"/>
      <c r="O53" s="26"/>
      <c r="P53" s="26"/>
      <c r="Q53" s="26"/>
      <c r="R53" s="27">
        <f t="shared" si="1"/>
        <v>0</v>
      </c>
      <c r="S53" s="20"/>
      <c r="T53" s="31"/>
      <c r="U53" s="32"/>
      <c r="V53" s="32"/>
      <c r="W53" s="31"/>
      <c r="X53" s="32"/>
      <c r="Y53" s="33"/>
    </row>
    <row r="54" spans="1:25" ht="12.75" thickBot="1" x14ac:dyDescent="0.25">
      <c r="A54" s="34"/>
      <c r="B54" s="34"/>
      <c r="C54" s="34">
        <v>37</v>
      </c>
      <c r="D54" s="35"/>
      <c r="E54" s="36"/>
      <c r="F54" s="36"/>
      <c r="G54" s="36"/>
      <c r="H54" s="36"/>
      <c r="I54" s="36"/>
      <c r="J54" s="37">
        <f t="shared" si="0"/>
        <v>0</v>
      </c>
      <c r="L54" s="35"/>
      <c r="M54" s="36"/>
      <c r="N54" s="36"/>
      <c r="O54" s="36"/>
      <c r="P54" s="36"/>
      <c r="Q54" s="36"/>
      <c r="R54" s="37">
        <f t="shared" si="1"/>
        <v>0</v>
      </c>
      <c r="S54" s="20"/>
      <c r="T54" s="41"/>
      <c r="U54" s="42"/>
      <c r="V54" s="42"/>
      <c r="W54" s="41"/>
      <c r="X54" s="42"/>
      <c r="Y54" s="43"/>
    </row>
    <row r="55" spans="1:25" x14ac:dyDescent="0.2">
      <c r="A55" s="13" t="s">
        <v>118</v>
      </c>
      <c r="B55" s="13" t="s">
        <v>109</v>
      </c>
      <c r="C55" s="13">
        <v>22</v>
      </c>
      <c r="D55" s="17">
        <v>345.84800000000001</v>
      </c>
      <c r="E55" s="18">
        <v>51.991123000000002</v>
      </c>
      <c r="F55" s="18">
        <v>46.696012000000003</v>
      </c>
      <c r="G55" s="18">
        <v>46.69903</v>
      </c>
      <c r="H55" s="18">
        <v>47.859853999999999</v>
      </c>
      <c r="I55" s="18"/>
      <c r="J55" s="16">
        <f>H55/3600</f>
        <v>1.3294403888888889E-2</v>
      </c>
      <c r="L55" s="17"/>
      <c r="M55" s="18"/>
      <c r="N55" s="18"/>
      <c r="O55" s="18"/>
      <c r="P55" s="18"/>
      <c r="Q55" s="18"/>
      <c r="R55" s="19">
        <f>P55/3600</f>
        <v>0</v>
      </c>
      <c r="S55" s="20"/>
      <c r="T55" s="21" t="e">
        <f>bdrate($D55:$D58,E55:E58,$L55:$L58,M55:M58)</f>
        <v>#VALUE!</v>
      </c>
      <c r="U55" s="22" t="e">
        <f>bdrate($D55:$D58,F55:F58,$L55:$L58,N55:N58)</f>
        <v>#VALUE!</v>
      </c>
      <c r="V55" s="23" t="e">
        <f>bdrate($D55:$D58,G55:G58,$L55:$L58,O55:O58)</f>
        <v>#VALUE!</v>
      </c>
      <c r="W55" s="21" t="e">
        <f>bdrateOld($D55:$D58,E55:E58,$L55:$L58,M55:M58)</f>
        <v>#VALUE!</v>
      </c>
      <c r="X55" s="22" t="e">
        <f>bdrateOld($D55:$D58,F55:F58,$L55:$L58,N55:N58)</f>
        <v>#VALUE!</v>
      </c>
      <c r="Y55" s="23" t="e">
        <f>bdrateOld($D55:$D58,G55:G58,$L55:$L58,O55:O58)</f>
        <v>#VALUE!</v>
      </c>
    </row>
    <row r="56" spans="1:25" x14ac:dyDescent="0.2">
      <c r="A56" s="24"/>
      <c r="B56" s="24" t="s">
        <v>110</v>
      </c>
      <c r="C56" s="24">
        <v>27</v>
      </c>
      <c r="D56" s="28">
        <v>100.152</v>
      </c>
      <c r="E56" s="29">
        <v>51.321620000000003</v>
      </c>
      <c r="F56" s="29">
        <v>46.208981999999999</v>
      </c>
      <c r="G56" s="29">
        <v>46.112181</v>
      </c>
      <c r="H56" s="29">
        <v>47.305383999999997</v>
      </c>
      <c r="I56" s="29"/>
      <c r="J56" s="27">
        <f t="shared" ref="J56:J106" si="2">H56/3600</f>
        <v>1.3140384444444443E-2</v>
      </c>
      <c r="L56" s="28"/>
      <c r="M56" s="29"/>
      <c r="N56" s="29"/>
      <c r="O56" s="29"/>
      <c r="P56" s="29"/>
      <c r="Q56" s="29"/>
      <c r="R56" s="30">
        <f t="shared" ref="R56:R106" si="3">P56/3600</f>
        <v>0</v>
      </c>
      <c r="S56" s="20"/>
      <c r="T56" s="31"/>
      <c r="U56" s="32"/>
      <c r="V56" s="33"/>
      <c r="W56" s="31"/>
      <c r="X56" s="32"/>
      <c r="Y56" s="33"/>
    </row>
    <row r="57" spans="1:25" x14ac:dyDescent="0.2">
      <c r="A57" s="24"/>
      <c r="B57" s="24"/>
      <c r="C57" s="24">
        <v>32</v>
      </c>
      <c r="D57" s="28">
        <v>42</v>
      </c>
      <c r="E57" s="29">
        <v>50.263080000000002</v>
      </c>
      <c r="F57" s="29">
        <v>45.923938999999997</v>
      </c>
      <c r="G57" s="29">
        <v>45.690716999999999</v>
      </c>
      <c r="H57" s="29">
        <v>46.850951999999999</v>
      </c>
      <c r="I57" s="29"/>
      <c r="J57" s="27">
        <f t="shared" si="2"/>
        <v>1.3014153333333334E-2</v>
      </c>
      <c r="L57" s="28"/>
      <c r="M57" s="29"/>
      <c r="N57" s="29"/>
      <c r="O57" s="29"/>
      <c r="P57" s="29"/>
      <c r="Q57" s="29"/>
      <c r="R57" s="30">
        <f t="shared" si="3"/>
        <v>0</v>
      </c>
      <c r="S57" s="20"/>
      <c r="T57" s="31"/>
      <c r="U57" s="32"/>
      <c r="V57" s="33"/>
      <c r="W57" s="31"/>
      <c r="X57" s="32"/>
      <c r="Y57" s="33"/>
    </row>
    <row r="58" spans="1:25" ht="12.75" thickBot="1" x14ac:dyDescent="0.25">
      <c r="A58" s="24"/>
      <c r="B58" s="34"/>
      <c r="C58" s="34">
        <v>37</v>
      </c>
      <c r="D58" s="38">
        <v>16.440000000000001</v>
      </c>
      <c r="E58" s="39">
        <v>48.831732000000002</v>
      </c>
      <c r="F58" s="39">
        <v>45.360715999999996</v>
      </c>
      <c r="G58" s="39">
        <v>45.120089999999998</v>
      </c>
      <c r="H58" s="39">
        <v>46.141001000000003</v>
      </c>
      <c r="I58" s="39"/>
      <c r="J58" s="37">
        <f t="shared" si="2"/>
        <v>1.2816944722222223E-2</v>
      </c>
      <c r="L58" s="38"/>
      <c r="M58" s="39"/>
      <c r="N58" s="39"/>
      <c r="O58" s="39"/>
      <c r="P58" s="39"/>
      <c r="Q58" s="39"/>
      <c r="R58" s="40">
        <f t="shared" si="3"/>
        <v>0</v>
      </c>
      <c r="S58" s="20"/>
      <c r="T58" s="41"/>
      <c r="U58" s="42"/>
      <c r="V58" s="43"/>
      <c r="W58" s="41"/>
      <c r="X58" s="42"/>
      <c r="Y58" s="43"/>
    </row>
    <row r="59" spans="1:25" x14ac:dyDescent="0.2">
      <c r="A59" s="24"/>
      <c r="B59" s="13" t="s">
        <v>111</v>
      </c>
      <c r="C59" s="13">
        <v>22</v>
      </c>
      <c r="D59" s="17">
        <v>1282.2</v>
      </c>
      <c r="E59" s="18">
        <v>50.346750999999998</v>
      </c>
      <c r="F59" s="18">
        <v>45.828764999999997</v>
      </c>
      <c r="G59" s="18">
        <v>45.940123999999997</v>
      </c>
      <c r="H59" s="18">
        <v>46.930089000000002</v>
      </c>
      <c r="I59" s="18"/>
      <c r="J59" s="16">
        <f t="shared" si="2"/>
        <v>1.3036135833333334E-2</v>
      </c>
      <c r="L59" s="17"/>
      <c r="M59" s="18"/>
      <c r="N59" s="18"/>
      <c r="O59" s="18"/>
      <c r="P59" s="18"/>
      <c r="Q59" s="18"/>
      <c r="R59" s="19">
        <f t="shared" si="3"/>
        <v>0</v>
      </c>
      <c r="S59" s="20"/>
      <c r="T59" s="21" t="e">
        <f>bdrate($D59:$D62,E59:E62,$L59:$L62,M59:M62)</f>
        <v>#VALUE!</v>
      </c>
      <c r="U59" s="22" t="e">
        <f>bdrate($D59:$D62,F59:F62,$L59:$L62,N59:N62)</f>
        <v>#VALUE!</v>
      </c>
      <c r="V59" s="22" t="e">
        <f>bdrate($D59:$D62,G59:G62,$L59:$L62,O59:O62)</f>
        <v>#VALUE!</v>
      </c>
      <c r="W59" s="44" t="e">
        <f>bdrateOld($D59:$D62,E59:E62,$L59:$L62,M59:M62)</f>
        <v>#VALUE!</v>
      </c>
      <c r="X59" s="45" t="e">
        <f>bdrateOld($D59:$D62,F59:F62,$L59:$L62,N59:N62)</f>
        <v>#VALUE!</v>
      </c>
      <c r="Y59" s="46" t="e">
        <f>bdrateOld($D59:$D62,G59:G62,$L59:$L62,O59:O62)</f>
        <v>#VALUE!</v>
      </c>
    </row>
    <row r="60" spans="1:25" x14ac:dyDescent="0.2">
      <c r="A60" s="24"/>
      <c r="B60" s="24"/>
      <c r="C60" s="24">
        <v>27</v>
      </c>
      <c r="D60" s="28">
        <v>498.416</v>
      </c>
      <c r="E60" s="29">
        <v>48.918546999999997</v>
      </c>
      <c r="F60" s="29">
        <v>44.171576000000002</v>
      </c>
      <c r="G60" s="29">
        <v>44.406238000000002</v>
      </c>
      <c r="H60" s="29">
        <v>45.358490000000003</v>
      </c>
      <c r="I60" s="29"/>
      <c r="J60" s="27">
        <f t="shared" si="2"/>
        <v>1.2599580555555557E-2</v>
      </c>
      <c r="L60" s="28"/>
      <c r="M60" s="29"/>
      <c r="N60" s="29"/>
      <c r="O60" s="29"/>
      <c r="P60" s="29"/>
      <c r="Q60" s="29"/>
      <c r="R60" s="30">
        <f t="shared" si="3"/>
        <v>0</v>
      </c>
      <c r="S60" s="20"/>
      <c r="T60" s="31"/>
      <c r="U60" s="32"/>
      <c r="V60" s="32"/>
      <c r="W60" s="31"/>
      <c r="X60" s="32"/>
      <c r="Y60" s="33"/>
    </row>
    <row r="61" spans="1:25" x14ac:dyDescent="0.2">
      <c r="A61" s="24"/>
      <c r="B61" s="24"/>
      <c r="C61" s="24">
        <v>32</v>
      </c>
      <c r="D61" s="28">
        <v>228.88800000000001</v>
      </c>
      <c r="E61" s="29">
        <v>47.315525999999998</v>
      </c>
      <c r="F61" s="29">
        <v>42.706038999999997</v>
      </c>
      <c r="G61" s="29">
        <v>43.224113000000003</v>
      </c>
      <c r="H61" s="29">
        <v>43.987333999999997</v>
      </c>
      <c r="I61" s="29"/>
      <c r="J61" s="27">
        <f t="shared" si="2"/>
        <v>1.2218703888888889E-2</v>
      </c>
      <c r="L61" s="28"/>
      <c r="M61" s="29"/>
      <c r="N61" s="29"/>
      <c r="O61" s="29"/>
      <c r="P61" s="29"/>
      <c r="Q61" s="29"/>
      <c r="R61" s="30">
        <f t="shared" si="3"/>
        <v>0</v>
      </c>
      <c r="S61" s="20"/>
      <c r="T61" s="31"/>
      <c r="U61" s="47"/>
      <c r="V61" s="32"/>
      <c r="W61" s="31"/>
      <c r="X61" s="32"/>
      <c r="Y61" s="33"/>
    </row>
    <row r="62" spans="1:25" ht="12.75" thickBot="1" x14ac:dyDescent="0.25">
      <c r="A62" s="24"/>
      <c r="B62" s="34"/>
      <c r="C62" s="34">
        <v>37</v>
      </c>
      <c r="D62" s="38">
        <v>113.328</v>
      </c>
      <c r="E62" s="39">
        <v>45.349992999999998</v>
      </c>
      <c r="F62" s="39">
        <v>41.180580999999997</v>
      </c>
      <c r="G62" s="39">
        <v>41.929910999999997</v>
      </c>
      <c r="H62" s="39">
        <v>42.479661999999998</v>
      </c>
      <c r="I62" s="39"/>
      <c r="J62" s="37">
        <f t="shared" si="2"/>
        <v>1.1799906111111111E-2</v>
      </c>
      <c r="L62" s="38"/>
      <c r="M62" s="39"/>
      <c r="N62" s="39"/>
      <c r="O62" s="39"/>
      <c r="P62" s="39"/>
      <c r="Q62" s="39"/>
      <c r="R62" s="40">
        <f t="shared" si="3"/>
        <v>0</v>
      </c>
      <c r="S62" s="20"/>
      <c r="T62" s="41"/>
      <c r="U62" s="42"/>
      <c r="V62" s="42"/>
      <c r="W62" s="41"/>
      <c r="X62" s="42"/>
      <c r="Y62" s="43"/>
    </row>
    <row r="63" spans="1:25" x14ac:dyDescent="0.2">
      <c r="A63" s="118"/>
      <c r="B63" s="117" t="s">
        <v>112</v>
      </c>
      <c r="C63" s="117">
        <v>22</v>
      </c>
      <c r="D63" s="17">
        <v>1167.672</v>
      </c>
      <c r="E63" s="18">
        <v>53.404437999999999</v>
      </c>
      <c r="F63" s="18">
        <v>524.63342499999999</v>
      </c>
      <c r="G63" s="18">
        <v>525.20124699999997</v>
      </c>
      <c r="H63" s="18">
        <v>52.982010000000002</v>
      </c>
      <c r="I63" s="18"/>
      <c r="J63" s="16">
        <f t="shared" si="2"/>
        <v>1.4717225E-2</v>
      </c>
      <c r="L63" s="14">
        <v>616.76</v>
      </c>
      <c r="M63" s="15">
        <v>52.536499999999997</v>
      </c>
      <c r="N63" s="15">
        <v>523.16712500000006</v>
      </c>
      <c r="O63" s="15">
        <v>524.06881299999998</v>
      </c>
      <c r="P63" s="15">
        <v>50.733896000000001</v>
      </c>
      <c r="Q63" s="18"/>
      <c r="R63" s="19">
        <f t="shared" si="3"/>
        <v>1.409274888888889E-2</v>
      </c>
      <c r="S63" s="20"/>
      <c r="T63" s="21">
        <f>bdrate($D63:$D66,E63:E66,$L63:$L66,M63:M66)</f>
        <v>-0.3493419906385461</v>
      </c>
      <c r="U63" s="22">
        <f>bdrate($D63:$D66,F63:F66,$L63:$L66,N63:N66)</f>
        <v>0.28956304661336163</v>
      </c>
      <c r="V63" s="22">
        <f>bdrate($D63:$D66,G63:G66,$L63:$L66,O63:O66)</f>
        <v>0.29487090936786586</v>
      </c>
      <c r="W63" s="44">
        <f>bdrateOld($D63:$D66,E63:E66,$L63:$L66,M63:M66)</f>
        <v>-0.3456545882418145</v>
      </c>
      <c r="X63" s="45">
        <f>bdrateOld($D63:$D66,F63:F66,$L63:$L66,N63:N66)</f>
        <v>-4.8966860793808298E-2</v>
      </c>
      <c r="Y63" s="46">
        <f>bdrateOld($D63:$D66,G63:G66,$L63:$L66,O63:O66)</f>
        <v>0.5929004901635655</v>
      </c>
    </row>
    <row r="64" spans="1:25" x14ac:dyDescent="0.2">
      <c r="A64" s="118"/>
      <c r="B64" s="118"/>
      <c r="C64" s="118">
        <v>27</v>
      </c>
      <c r="D64" s="28">
        <v>504.00799999999998</v>
      </c>
      <c r="E64" s="29">
        <v>51.388286999999998</v>
      </c>
      <c r="F64" s="29">
        <v>523.07397100000003</v>
      </c>
      <c r="G64" s="29">
        <v>524.00313000000006</v>
      </c>
      <c r="H64" s="29">
        <v>50.400134000000001</v>
      </c>
      <c r="I64" s="29"/>
      <c r="J64" s="27">
        <f t="shared" si="2"/>
        <v>1.4000037222222223E-2</v>
      </c>
      <c r="L64" s="25">
        <v>202.352</v>
      </c>
      <c r="M64" s="26">
        <v>50.450966000000001</v>
      </c>
      <c r="N64" s="26">
        <v>521.51748999999995</v>
      </c>
      <c r="O64" s="26">
        <v>522.852214</v>
      </c>
      <c r="P64" s="26">
        <v>47.956780000000002</v>
      </c>
      <c r="Q64" s="29"/>
      <c r="R64" s="30">
        <f t="shared" si="3"/>
        <v>1.3321327777777779E-2</v>
      </c>
      <c r="S64" s="20"/>
      <c r="T64" s="31"/>
      <c r="U64" s="32"/>
      <c r="V64" s="32"/>
      <c r="W64" s="31"/>
      <c r="X64" s="32"/>
      <c r="Y64" s="33"/>
    </row>
    <row r="65" spans="1:25" x14ac:dyDescent="0.2">
      <c r="A65" s="118"/>
      <c r="B65" s="118" t="s">
        <v>126</v>
      </c>
      <c r="C65" s="118">
        <v>32</v>
      </c>
      <c r="D65" s="28">
        <v>192.136</v>
      </c>
      <c r="E65" s="29">
        <v>49.465676999999999</v>
      </c>
      <c r="F65" s="29">
        <v>521.78142200000002</v>
      </c>
      <c r="G65" s="29">
        <v>523.04070899999999</v>
      </c>
      <c r="H65" s="29">
        <v>48.181037000000003</v>
      </c>
      <c r="I65" s="29"/>
      <c r="J65" s="27">
        <f t="shared" si="2"/>
        <v>1.338362138888889E-2</v>
      </c>
      <c r="L65" s="25">
        <v>67.751999999999995</v>
      </c>
      <c r="M65" s="26">
        <v>48.345790999999998</v>
      </c>
      <c r="N65" s="26">
        <v>520.169533</v>
      </c>
      <c r="O65" s="26">
        <v>522.00955499999998</v>
      </c>
      <c r="P65" s="26">
        <v>45.649230000000003</v>
      </c>
      <c r="Q65" s="29"/>
      <c r="R65" s="30">
        <f t="shared" si="3"/>
        <v>1.2680341666666668E-2</v>
      </c>
      <c r="S65" s="20"/>
      <c r="T65" s="31"/>
      <c r="U65" s="32"/>
      <c r="V65" s="32"/>
      <c r="W65" s="31"/>
      <c r="X65" s="32"/>
      <c r="Y65" s="33"/>
    </row>
    <row r="66" spans="1:25" ht="12.75" thickBot="1" x14ac:dyDescent="0.25">
      <c r="A66" s="118"/>
      <c r="B66" s="119"/>
      <c r="C66" s="119">
        <v>37</v>
      </c>
      <c r="D66" s="38">
        <v>68.504000000000005</v>
      </c>
      <c r="E66" s="39">
        <v>47.557830000000003</v>
      </c>
      <c r="F66" s="39">
        <v>520.74282500000004</v>
      </c>
      <c r="G66" s="39">
        <v>522.37204399999996</v>
      </c>
      <c r="H66" s="39">
        <v>46.335572999999997</v>
      </c>
      <c r="I66" s="39"/>
      <c r="J66" s="37">
        <f t="shared" si="2"/>
        <v>1.2870992499999999E-2</v>
      </c>
      <c r="L66" s="35">
        <v>31.568000000000001</v>
      </c>
      <c r="M66" s="36">
        <v>46.030946999999998</v>
      </c>
      <c r="N66" s="36">
        <v>519.47937200000001</v>
      </c>
      <c r="O66" s="36">
        <v>521.37908900000002</v>
      </c>
      <c r="P66" s="36">
        <v>44.121051000000001</v>
      </c>
      <c r="Q66" s="39"/>
      <c r="R66" s="40">
        <f t="shared" si="3"/>
        <v>1.22558475E-2</v>
      </c>
      <c r="S66" s="20"/>
      <c r="T66" s="41"/>
      <c r="U66" s="42"/>
      <c r="V66" s="42"/>
      <c r="W66" s="41"/>
      <c r="X66" s="42"/>
      <c r="Y66" s="43"/>
    </row>
    <row r="67" spans="1:25" x14ac:dyDescent="0.2">
      <c r="A67" s="118"/>
      <c r="B67" s="117" t="s">
        <v>113</v>
      </c>
      <c r="C67" s="117">
        <v>22</v>
      </c>
      <c r="D67" s="17">
        <v>1167.672</v>
      </c>
      <c r="E67" s="18">
        <v>53.404437999999999</v>
      </c>
      <c r="F67" s="18">
        <v>524.63342499999999</v>
      </c>
      <c r="G67" s="18">
        <v>525.20124699999997</v>
      </c>
      <c r="H67" s="18">
        <v>52.982010000000002</v>
      </c>
      <c r="I67" s="18"/>
      <c r="J67" s="16">
        <f t="shared" si="2"/>
        <v>1.4717225E-2</v>
      </c>
      <c r="L67" s="17"/>
      <c r="M67" s="18"/>
      <c r="N67" s="18"/>
      <c r="O67" s="18"/>
      <c r="P67" s="18"/>
      <c r="Q67" s="18"/>
      <c r="R67" s="19">
        <f t="shared" si="3"/>
        <v>0</v>
      </c>
      <c r="S67" s="20"/>
      <c r="T67" s="21" t="e">
        <f>bdrate($D67:$D70,E67:E70,$L67:$L70,M67:M70)</f>
        <v>#VALUE!</v>
      </c>
      <c r="U67" s="22" t="e">
        <f>bdrate($D67:$D70,F67:F70,$L67:$L70,N67:N70)</f>
        <v>#VALUE!</v>
      </c>
      <c r="V67" s="22" t="e">
        <f>bdrate($D67:$D70,G67:G70,$L67:$L70,O67:O70)</f>
        <v>#VALUE!</v>
      </c>
      <c r="W67" s="44" t="e">
        <f>bdrateOld($D67:$D70,E67:E70,$L67:$L70,M67:M70)</f>
        <v>#VALUE!</v>
      </c>
      <c r="X67" s="45" t="e">
        <f>bdrateOld($D67:$D70,F67:F70,$L67:$L70,N67:N70)</f>
        <v>#VALUE!</v>
      </c>
      <c r="Y67" s="46" t="e">
        <f>bdrateOld($D67:$D70,G67:G70,$L67:$L70,O67:O70)</f>
        <v>#VALUE!</v>
      </c>
    </row>
    <row r="68" spans="1:25" x14ac:dyDescent="0.2">
      <c r="A68" s="118"/>
      <c r="B68" s="118"/>
      <c r="C68" s="118">
        <v>27</v>
      </c>
      <c r="D68" s="28">
        <v>504.00799999999998</v>
      </c>
      <c r="E68" s="29">
        <v>51.388286999999998</v>
      </c>
      <c r="F68" s="29">
        <v>523.07397100000003</v>
      </c>
      <c r="G68" s="29">
        <v>524.00313000000006</v>
      </c>
      <c r="H68" s="29">
        <v>50.400134000000001</v>
      </c>
      <c r="I68" s="29"/>
      <c r="J68" s="27">
        <f t="shared" si="2"/>
        <v>1.4000037222222223E-2</v>
      </c>
      <c r="L68" s="28"/>
      <c r="M68" s="29"/>
      <c r="N68" s="29"/>
      <c r="O68" s="29"/>
      <c r="P68" s="29"/>
      <c r="Q68" s="29"/>
      <c r="R68" s="30">
        <f t="shared" si="3"/>
        <v>0</v>
      </c>
      <c r="S68" s="20"/>
      <c r="T68" s="31"/>
      <c r="U68" s="32"/>
      <c r="V68" s="32"/>
      <c r="W68" s="31"/>
      <c r="X68" s="32"/>
      <c r="Y68" s="33"/>
    </row>
    <row r="69" spans="1:25" x14ac:dyDescent="0.2">
      <c r="A69" s="118"/>
      <c r="B69" s="118" t="s">
        <v>126</v>
      </c>
      <c r="C69" s="118">
        <v>32</v>
      </c>
      <c r="D69" s="28">
        <v>192.136</v>
      </c>
      <c r="E69" s="29">
        <v>49.465676999999999</v>
      </c>
      <c r="F69" s="29">
        <v>521.78142200000002</v>
      </c>
      <c r="G69" s="29">
        <v>523.04070899999999</v>
      </c>
      <c r="H69" s="29">
        <v>48.181037000000003</v>
      </c>
      <c r="I69" s="29"/>
      <c r="J69" s="27">
        <f t="shared" si="2"/>
        <v>1.338362138888889E-2</v>
      </c>
      <c r="L69" s="28"/>
      <c r="M69" s="29"/>
      <c r="N69" s="29"/>
      <c r="O69" s="29"/>
      <c r="P69" s="29"/>
      <c r="Q69" s="29"/>
      <c r="R69" s="30">
        <f t="shared" si="3"/>
        <v>0</v>
      </c>
      <c r="S69" s="20"/>
      <c r="T69" s="31"/>
      <c r="U69" s="32"/>
      <c r="V69" s="32"/>
      <c r="W69" s="31"/>
      <c r="X69" s="32"/>
      <c r="Y69" s="33"/>
    </row>
    <row r="70" spans="1:25" ht="12.75" thickBot="1" x14ac:dyDescent="0.25">
      <c r="A70" s="118"/>
      <c r="B70" s="119"/>
      <c r="C70" s="119">
        <v>37</v>
      </c>
      <c r="D70" s="38">
        <v>68.504000000000005</v>
      </c>
      <c r="E70" s="39">
        <v>47.557830000000003</v>
      </c>
      <c r="F70" s="39">
        <v>520.74282500000004</v>
      </c>
      <c r="G70" s="39">
        <v>522.37204399999996</v>
      </c>
      <c r="H70" s="39">
        <v>46.335572999999997</v>
      </c>
      <c r="I70" s="39"/>
      <c r="J70" s="37">
        <f t="shared" si="2"/>
        <v>1.2870992499999999E-2</v>
      </c>
      <c r="L70" s="38"/>
      <c r="M70" s="39"/>
      <c r="N70" s="39"/>
      <c r="O70" s="39"/>
      <c r="P70" s="39"/>
      <c r="Q70" s="39"/>
      <c r="R70" s="40">
        <f t="shared" si="3"/>
        <v>0</v>
      </c>
      <c r="S70" s="20"/>
      <c r="T70" s="41"/>
      <c r="U70" s="42"/>
      <c r="V70" s="42"/>
      <c r="W70" s="41"/>
      <c r="X70" s="42"/>
      <c r="Y70" s="43"/>
    </row>
    <row r="71" spans="1:25" x14ac:dyDescent="0.2">
      <c r="A71" s="24"/>
      <c r="B71" s="13" t="s">
        <v>115</v>
      </c>
      <c r="C71" s="13">
        <v>22</v>
      </c>
      <c r="D71" s="14">
        <v>142.06399999999999</v>
      </c>
      <c r="E71" s="15">
        <v>54.208452000000001</v>
      </c>
      <c r="F71" s="15"/>
      <c r="G71" s="15"/>
      <c r="H71" s="15"/>
      <c r="I71" s="15"/>
      <c r="J71" s="16">
        <f t="shared" si="2"/>
        <v>0</v>
      </c>
      <c r="L71" s="14"/>
      <c r="M71" s="15"/>
      <c r="N71" s="15"/>
      <c r="O71" s="15"/>
      <c r="P71" s="15"/>
      <c r="Q71" s="15"/>
      <c r="R71" s="16">
        <f t="shared" si="3"/>
        <v>0</v>
      </c>
      <c r="S71" s="20"/>
      <c r="T71" s="21" t="e">
        <f>bdrate($D71:$D74,E71:E74,$L71:$L74,M71:M74)</f>
        <v>#VALUE!</v>
      </c>
      <c r="U71" s="22" t="e">
        <f>bdrate($D71:$D74,F71:F74,$L71:$L74,N71:N74)</f>
        <v>#VALUE!</v>
      </c>
      <c r="V71" s="22" t="e">
        <f>bdrate($D71:$D74,G71:G74,$L71:$L74,O71:O74)</f>
        <v>#VALUE!</v>
      </c>
      <c r="W71" s="44" t="e">
        <f>bdrateOld($D71:$D74,E71:E74,$L71:$L74,M71:M74)</f>
        <v>#VALUE!</v>
      </c>
      <c r="X71" s="45" t="e">
        <f>bdrateOld($D71:$D74,F71:F74,$L71:$L74,N71:N74)</f>
        <v>#VALUE!</v>
      </c>
      <c r="Y71" s="46" t="e">
        <f>bdrateOld($D71:$D74,G71:G74,$L71:$L74,O71:O74)</f>
        <v>#VALUE!</v>
      </c>
    </row>
    <row r="72" spans="1:25" x14ac:dyDescent="0.2">
      <c r="A72" s="24"/>
      <c r="B72" s="24" t="s">
        <v>114</v>
      </c>
      <c r="C72" s="24">
        <v>27</v>
      </c>
      <c r="D72" s="25">
        <v>75.703999999999994</v>
      </c>
      <c r="E72" s="26">
        <v>52.104235000000003</v>
      </c>
      <c r="F72" s="26"/>
      <c r="G72" s="26"/>
      <c r="H72" s="26"/>
      <c r="I72" s="26"/>
      <c r="J72" s="27">
        <f t="shared" si="2"/>
        <v>0</v>
      </c>
      <c r="L72" s="25"/>
      <c r="M72" s="26"/>
      <c r="N72" s="26"/>
      <c r="O72" s="26"/>
      <c r="P72" s="26"/>
      <c r="Q72" s="26"/>
      <c r="R72" s="27">
        <f t="shared" si="3"/>
        <v>0</v>
      </c>
      <c r="S72" s="20"/>
      <c r="T72" s="31"/>
      <c r="U72" s="32"/>
      <c r="V72" s="32"/>
      <c r="W72" s="31"/>
      <c r="X72" s="32"/>
      <c r="Y72" s="33"/>
    </row>
    <row r="73" spans="1:25" x14ac:dyDescent="0.2">
      <c r="A73" s="24"/>
      <c r="B73" s="24"/>
      <c r="C73" s="24">
        <v>32</v>
      </c>
      <c r="D73" s="25">
        <v>41.671999999999997</v>
      </c>
      <c r="E73" s="26">
        <v>49.850070000000002</v>
      </c>
      <c r="F73" s="26"/>
      <c r="G73" s="26"/>
      <c r="H73" s="26"/>
      <c r="I73" s="26"/>
      <c r="J73" s="27">
        <f t="shared" si="2"/>
        <v>0</v>
      </c>
      <c r="L73" s="25"/>
      <c r="M73" s="26"/>
      <c r="N73" s="26"/>
      <c r="O73" s="26"/>
      <c r="P73" s="26"/>
      <c r="Q73" s="26"/>
      <c r="R73" s="27">
        <f t="shared" si="3"/>
        <v>0</v>
      </c>
      <c r="S73" s="20"/>
      <c r="T73" s="31"/>
      <c r="U73" s="32"/>
      <c r="V73" s="32"/>
      <c r="W73" s="31"/>
      <c r="X73" s="32"/>
      <c r="Y73" s="33"/>
    </row>
    <row r="74" spans="1:25" ht="12.75" thickBot="1" x14ac:dyDescent="0.25">
      <c r="A74" s="24"/>
      <c r="B74" s="34"/>
      <c r="C74" s="34">
        <v>37</v>
      </c>
      <c r="D74" s="35">
        <v>23.824000000000002</v>
      </c>
      <c r="E74" s="36">
        <v>47.323104999999998</v>
      </c>
      <c r="F74" s="36"/>
      <c r="G74" s="36"/>
      <c r="H74" s="36"/>
      <c r="I74" s="36"/>
      <c r="J74" s="37">
        <f t="shared" si="2"/>
        <v>0</v>
      </c>
      <c r="L74" s="35"/>
      <c r="M74" s="36"/>
      <c r="N74" s="36"/>
      <c r="O74" s="36"/>
      <c r="P74" s="36"/>
      <c r="Q74" s="36"/>
      <c r="R74" s="37">
        <f t="shared" si="3"/>
        <v>0</v>
      </c>
      <c r="S74" s="20"/>
      <c r="T74" s="41"/>
      <c r="U74" s="42"/>
      <c r="V74" s="42"/>
      <c r="W74" s="41"/>
      <c r="X74" s="42"/>
      <c r="Y74" s="43"/>
    </row>
    <row r="75" spans="1:25" x14ac:dyDescent="0.2">
      <c r="A75" s="24"/>
      <c r="B75" s="13" t="s">
        <v>109</v>
      </c>
      <c r="C75" s="13">
        <v>22</v>
      </c>
      <c r="D75" s="14">
        <v>1025</v>
      </c>
      <c r="E75" s="15">
        <v>52.597866000000003</v>
      </c>
      <c r="F75" s="15">
        <v>49.276851000000001</v>
      </c>
      <c r="G75" s="15">
        <v>50.412492999999998</v>
      </c>
      <c r="H75" s="15">
        <v>50.554549999999999</v>
      </c>
      <c r="I75" s="15"/>
      <c r="J75" s="16">
        <f t="shared" si="2"/>
        <v>1.4042930555555555E-2</v>
      </c>
      <c r="L75" s="14"/>
      <c r="M75" s="15"/>
      <c r="N75" s="15"/>
      <c r="O75" s="15"/>
      <c r="P75" s="15"/>
      <c r="Q75" s="15"/>
      <c r="R75" s="16">
        <f t="shared" si="3"/>
        <v>0</v>
      </c>
      <c r="S75" s="20"/>
      <c r="T75" s="21" t="e">
        <f>bdrate($D75:$D78,E75:E78,$L75:$L78,M75:M78)</f>
        <v>#VALUE!</v>
      </c>
      <c r="U75" s="22" t="e">
        <f>bdrate($D75:$D78,F75:F78,$L75:$L78,N75:N78)</f>
        <v>#VALUE!</v>
      </c>
      <c r="V75" s="22" t="e">
        <f>bdrate($D75:$D78,G75:G78,$L75:$L78,O75:O78)</f>
        <v>#VALUE!</v>
      </c>
      <c r="W75" s="44" t="e">
        <f>bdrateOld($D75:$D78,E75:E78,$L75:$L78,M75:M78)</f>
        <v>#VALUE!</v>
      </c>
      <c r="X75" s="45" t="e">
        <f>bdrateOld($D75:$D78,F75:F78,$L75:$L78,N75:N78)</f>
        <v>#VALUE!</v>
      </c>
      <c r="Y75" s="46" t="e">
        <f>bdrateOld($D75:$D78,G75:G78,$L75:$L78,O75:O78)</f>
        <v>#VALUE!</v>
      </c>
    </row>
    <row r="76" spans="1:25" x14ac:dyDescent="0.2">
      <c r="A76" s="24"/>
      <c r="B76" s="24" t="s">
        <v>114</v>
      </c>
      <c r="C76" s="24">
        <v>27</v>
      </c>
      <c r="D76" s="25">
        <v>428.91199999999998</v>
      </c>
      <c r="E76" s="26">
        <v>50.706018</v>
      </c>
      <c r="F76" s="26">
        <v>46.157941999999998</v>
      </c>
      <c r="G76" s="26">
        <v>48.016258999999998</v>
      </c>
      <c r="H76" s="26">
        <v>47.912804000000001</v>
      </c>
      <c r="I76" s="26"/>
      <c r="J76" s="27">
        <f t="shared" si="2"/>
        <v>1.3309112222222223E-2</v>
      </c>
      <c r="L76" s="25"/>
      <c r="M76" s="26"/>
      <c r="N76" s="26"/>
      <c r="O76" s="26"/>
      <c r="P76" s="26"/>
      <c r="Q76" s="26"/>
      <c r="R76" s="27">
        <f t="shared" si="3"/>
        <v>0</v>
      </c>
      <c r="S76" s="20"/>
      <c r="T76" s="31"/>
      <c r="U76" s="32"/>
      <c r="V76" s="32"/>
      <c r="W76" s="31"/>
      <c r="X76" s="32"/>
      <c r="Y76" s="33"/>
    </row>
    <row r="77" spans="1:25" x14ac:dyDescent="0.2">
      <c r="A77" s="24"/>
      <c r="B77" s="24"/>
      <c r="C77" s="24">
        <v>32</v>
      </c>
      <c r="D77" s="25">
        <v>150.54400000000001</v>
      </c>
      <c r="E77" s="26">
        <v>49.120193</v>
      </c>
      <c r="F77" s="26">
        <v>43.572844000000003</v>
      </c>
      <c r="G77" s="26">
        <v>46.091417999999997</v>
      </c>
      <c r="H77" s="26">
        <v>45.698892000000001</v>
      </c>
      <c r="I77" s="26"/>
      <c r="J77" s="27">
        <f t="shared" si="2"/>
        <v>1.2694136666666666E-2</v>
      </c>
      <c r="L77" s="25"/>
      <c r="M77" s="26"/>
      <c r="N77" s="26"/>
      <c r="O77" s="26"/>
      <c r="P77" s="26"/>
      <c r="Q77" s="26"/>
      <c r="R77" s="27">
        <f t="shared" si="3"/>
        <v>0</v>
      </c>
      <c r="S77" s="20"/>
      <c r="T77" s="31"/>
      <c r="U77" s="32"/>
      <c r="V77" s="32"/>
      <c r="W77" s="31"/>
      <c r="X77" s="32"/>
      <c r="Y77" s="33"/>
    </row>
    <row r="78" spans="1:25" ht="12.75" thickBot="1" x14ac:dyDescent="0.25">
      <c r="A78" s="24"/>
      <c r="B78" s="34"/>
      <c r="C78" s="34">
        <v>37</v>
      </c>
      <c r="D78" s="35">
        <v>45.015999999999998</v>
      </c>
      <c r="E78" s="36">
        <v>47.852223000000002</v>
      </c>
      <c r="F78" s="36">
        <v>41.495651000000002</v>
      </c>
      <c r="G78" s="36">
        <v>44.754089</v>
      </c>
      <c r="H78" s="36">
        <v>43.953130999999999</v>
      </c>
      <c r="I78" s="36"/>
      <c r="J78" s="37">
        <f t="shared" si="2"/>
        <v>1.2209203055555555E-2</v>
      </c>
      <c r="L78" s="35"/>
      <c r="M78" s="36"/>
      <c r="N78" s="36"/>
      <c r="O78" s="36"/>
      <c r="P78" s="36"/>
      <c r="Q78" s="36"/>
      <c r="R78" s="37">
        <f t="shared" si="3"/>
        <v>0</v>
      </c>
      <c r="S78" s="20"/>
      <c r="T78" s="41"/>
      <c r="U78" s="42"/>
      <c r="V78" s="42"/>
      <c r="W78" s="41"/>
      <c r="X78" s="42"/>
      <c r="Y78" s="43"/>
    </row>
    <row r="79" spans="1:25" x14ac:dyDescent="0.2">
      <c r="A79" s="24"/>
      <c r="B79" s="13" t="s">
        <v>112</v>
      </c>
      <c r="C79" s="13">
        <v>22</v>
      </c>
      <c r="D79" s="14">
        <v>616.76</v>
      </c>
      <c r="E79" s="15">
        <v>52.536499999999997</v>
      </c>
      <c r="F79" s="15">
        <v>523.16712500000006</v>
      </c>
      <c r="G79" s="15">
        <v>524.06881299999998</v>
      </c>
      <c r="H79" s="15">
        <v>50.733896000000001</v>
      </c>
      <c r="I79" s="15"/>
      <c r="J79" s="16">
        <f t="shared" si="2"/>
        <v>1.409274888888889E-2</v>
      </c>
      <c r="L79" s="14"/>
      <c r="M79" s="15"/>
      <c r="N79" s="15"/>
      <c r="O79" s="15"/>
      <c r="P79" s="15"/>
      <c r="Q79" s="15"/>
      <c r="R79" s="16">
        <f t="shared" si="3"/>
        <v>0</v>
      </c>
      <c r="S79" s="20"/>
      <c r="T79" s="21" t="e">
        <f>bdrate($D79:$D82,E79:E82,$L79:$L82,M79:M82)</f>
        <v>#VALUE!</v>
      </c>
      <c r="U79" s="22" t="e">
        <f>bdrate($D79:$D82,F79:F82,$L79:$L82,N79:N82)</f>
        <v>#VALUE!</v>
      </c>
      <c r="V79" s="22" t="e">
        <f>bdrate($D79:$D82,G79:G82,$L79:$L82,O79:O82)</f>
        <v>#VALUE!</v>
      </c>
      <c r="W79" s="44" t="e">
        <f>bdrateOld($D79:$D82,E79:E82,$L79:$L82,M79:M82)</f>
        <v>#VALUE!</v>
      </c>
      <c r="X79" s="45" t="e">
        <f>bdrateOld($D79:$D82,F79:F82,$L79:$L82,N79:N82)</f>
        <v>#VALUE!</v>
      </c>
      <c r="Y79" s="46" t="e">
        <f>bdrateOld($D79:$D82,G79:G82,$L79:$L82,O79:O82)</f>
        <v>#VALUE!</v>
      </c>
    </row>
    <row r="80" spans="1:25" x14ac:dyDescent="0.2">
      <c r="A80" s="24"/>
      <c r="B80" s="24"/>
      <c r="C80" s="24">
        <v>27</v>
      </c>
      <c r="D80" s="25">
        <v>202.352</v>
      </c>
      <c r="E80" s="26">
        <v>50.450966000000001</v>
      </c>
      <c r="F80" s="26">
        <v>521.51748999999995</v>
      </c>
      <c r="G80" s="26">
        <v>522.852214</v>
      </c>
      <c r="H80" s="26">
        <v>47.956780000000002</v>
      </c>
      <c r="I80" s="26"/>
      <c r="J80" s="27">
        <f t="shared" si="2"/>
        <v>1.3321327777777779E-2</v>
      </c>
      <c r="L80" s="25"/>
      <c r="M80" s="26"/>
      <c r="N80" s="26"/>
      <c r="O80" s="26"/>
      <c r="P80" s="26"/>
      <c r="Q80" s="26"/>
      <c r="R80" s="27">
        <f t="shared" si="3"/>
        <v>0</v>
      </c>
      <c r="S80" s="20"/>
      <c r="T80" s="31"/>
      <c r="U80" s="32"/>
      <c r="V80" s="32"/>
      <c r="W80" s="31"/>
      <c r="X80" s="32"/>
      <c r="Y80" s="33"/>
    </row>
    <row r="81" spans="1:25" x14ac:dyDescent="0.2">
      <c r="A81" s="24"/>
      <c r="B81" s="24" t="s">
        <v>116</v>
      </c>
      <c r="C81" s="24">
        <v>32</v>
      </c>
      <c r="D81" s="25">
        <v>67.751999999999995</v>
      </c>
      <c r="E81" s="26">
        <v>48.345790999999998</v>
      </c>
      <c r="F81" s="26">
        <v>520.169533</v>
      </c>
      <c r="G81" s="26">
        <v>522.00955499999998</v>
      </c>
      <c r="H81" s="26">
        <v>45.649230000000003</v>
      </c>
      <c r="I81" s="26"/>
      <c r="J81" s="27">
        <f t="shared" si="2"/>
        <v>1.2680341666666668E-2</v>
      </c>
      <c r="L81" s="25"/>
      <c r="M81" s="26"/>
      <c r="N81" s="26"/>
      <c r="O81" s="26"/>
      <c r="P81" s="26"/>
      <c r="Q81" s="26"/>
      <c r="R81" s="27">
        <f t="shared" si="3"/>
        <v>0</v>
      </c>
      <c r="S81" s="20"/>
      <c r="T81" s="31"/>
      <c r="U81" s="32"/>
      <c r="V81" s="32"/>
      <c r="W81" s="31"/>
      <c r="X81" s="32"/>
      <c r="Y81" s="33"/>
    </row>
    <row r="82" spans="1:25" ht="12.75" thickBot="1" x14ac:dyDescent="0.25">
      <c r="A82" s="24"/>
      <c r="B82" s="34"/>
      <c r="C82" s="34">
        <v>37</v>
      </c>
      <c r="D82" s="35">
        <v>31.568000000000001</v>
      </c>
      <c r="E82" s="36">
        <v>46.030946999999998</v>
      </c>
      <c r="F82" s="36">
        <v>519.47937200000001</v>
      </c>
      <c r="G82" s="36">
        <v>521.37908900000002</v>
      </c>
      <c r="H82" s="36">
        <v>44.121051000000001</v>
      </c>
      <c r="I82" s="36"/>
      <c r="J82" s="37">
        <f t="shared" si="2"/>
        <v>1.22558475E-2</v>
      </c>
      <c r="L82" s="35"/>
      <c r="M82" s="36"/>
      <c r="N82" s="36"/>
      <c r="O82" s="36"/>
      <c r="P82" s="36"/>
      <c r="Q82" s="36"/>
      <c r="R82" s="37">
        <f t="shared" si="3"/>
        <v>0</v>
      </c>
      <c r="S82" s="20"/>
      <c r="T82" s="41"/>
      <c r="U82" s="42"/>
      <c r="V82" s="42"/>
      <c r="W82" s="41"/>
      <c r="X82" s="42"/>
      <c r="Y82" s="43"/>
    </row>
    <row r="83" spans="1:25" x14ac:dyDescent="0.2">
      <c r="A83" s="24"/>
      <c r="B83" s="13" t="s">
        <v>113</v>
      </c>
      <c r="C83" s="13">
        <v>22</v>
      </c>
      <c r="D83" s="14">
        <v>1167.0319999999999</v>
      </c>
      <c r="E83" s="15">
        <v>52.452618999999999</v>
      </c>
      <c r="F83" s="15">
        <v>57.645029999999998</v>
      </c>
      <c r="G83" s="15">
        <v>58.564301</v>
      </c>
      <c r="H83" s="15">
        <v>52.757323</v>
      </c>
      <c r="I83" s="15"/>
      <c r="J83" s="16">
        <f t="shared" si="2"/>
        <v>1.4654811944444445E-2</v>
      </c>
      <c r="L83" s="14"/>
      <c r="M83" s="15"/>
      <c r="N83" s="15"/>
      <c r="O83" s="15"/>
      <c r="P83" s="15"/>
      <c r="Q83" s="15"/>
      <c r="R83" s="16">
        <f t="shared" si="3"/>
        <v>0</v>
      </c>
      <c r="S83" s="20"/>
      <c r="T83" s="21" t="e">
        <f>bdrate($D83:$D86,E83:E86,$L83:$L86,M83:M86)</f>
        <v>#VALUE!</v>
      </c>
      <c r="U83" s="22" t="e">
        <f>bdrate($D83:$D86,F83:F86,$L83:$L86,N83:N86)</f>
        <v>#VALUE!</v>
      </c>
      <c r="V83" s="22" t="e">
        <f>bdrate($D83:$D86,G83:G86,$L83:$L86,O83:O86)</f>
        <v>#VALUE!</v>
      </c>
      <c r="W83" s="44" t="e">
        <f>bdrateOld($D83:$D86,E83:E86,$L83:$L86,M83:M86)</f>
        <v>#VALUE!</v>
      </c>
      <c r="X83" s="45" t="e">
        <f>bdrateOld($D83:$D86,F83:F86,$L83:$L86,N83:N86)</f>
        <v>#VALUE!</v>
      </c>
      <c r="Y83" s="46" t="e">
        <f>bdrateOld($D83:$D86,G83:G86,$L83:$L86,O83:O86)</f>
        <v>#VALUE!</v>
      </c>
    </row>
    <row r="84" spans="1:25" x14ac:dyDescent="0.2">
      <c r="A84" s="24"/>
      <c r="B84" s="24"/>
      <c r="C84" s="24">
        <v>27</v>
      </c>
      <c r="D84" s="25">
        <v>507</v>
      </c>
      <c r="E84" s="26">
        <v>49.995035999999999</v>
      </c>
      <c r="F84" s="26">
        <v>53.288449</v>
      </c>
      <c r="G84" s="26">
        <v>54.165152999999997</v>
      </c>
      <c r="H84" s="26">
        <v>49.964829000000002</v>
      </c>
      <c r="I84" s="26"/>
      <c r="J84" s="27">
        <f t="shared" si="2"/>
        <v>1.3879119166666667E-2</v>
      </c>
      <c r="L84" s="25"/>
      <c r="M84" s="26"/>
      <c r="N84" s="26"/>
      <c r="O84" s="26"/>
      <c r="P84" s="26"/>
      <c r="Q84" s="26"/>
      <c r="R84" s="27">
        <f t="shared" si="3"/>
        <v>0</v>
      </c>
      <c r="S84" s="20"/>
      <c r="T84" s="31"/>
      <c r="U84" s="32"/>
      <c r="V84" s="32"/>
      <c r="W84" s="31"/>
      <c r="X84" s="32"/>
      <c r="Y84" s="33"/>
    </row>
    <row r="85" spans="1:25" x14ac:dyDescent="0.2">
      <c r="A85" s="24"/>
      <c r="B85" s="24" t="s">
        <v>116</v>
      </c>
      <c r="C85" s="24">
        <v>32</v>
      </c>
      <c r="D85" s="25">
        <v>185.27199999999999</v>
      </c>
      <c r="E85" s="26">
        <v>47.634928000000002</v>
      </c>
      <c r="F85" s="26">
        <v>48.328744999999998</v>
      </c>
      <c r="G85" s="26">
        <v>49.466735</v>
      </c>
      <c r="H85" s="26">
        <v>47.231107000000002</v>
      </c>
      <c r="I85" s="26"/>
      <c r="J85" s="27">
        <f t="shared" si="2"/>
        <v>1.3119751944444445E-2</v>
      </c>
      <c r="L85" s="25"/>
      <c r="M85" s="26"/>
      <c r="N85" s="26"/>
      <c r="O85" s="26"/>
      <c r="P85" s="26"/>
      <c r="Q85" s="26"/>
      <c r="R85" s="27">
        <f t="shared" si="3"/>
        <v>0</v>
      </c>
      <c r="S85" s="20"/>
      <c r="T85" s="31"/>
      <c r="U85" s="32"/>
      <c r="V85" s="32"/>
      <c r="W85" s="31"/>
      <c r="X85" s="32"/>
      <c r="Y85" s="33"/>
    </row>
    <row r="86" spans="1:25" ht="12.75" thickBot="1" x14ac:dyDescent="0.25">
      <c r="A86" s="24"/>
      <c r="B86" s="34"/>
      <c r="C86" s="34">
        <v>37</v>
      </c>
      <c r="D86" s="35">
        <v>60.72</v>
      </c>
      <c r="E86" s="36">
        <v>45.656511999999999</v>
      </c>
      <c r="F86" s="36">
        <v>44.253163000000001</v>
      </c>
      <c r="G86" s="36">
        <v>45.884295000000002</v>
      </c>
      <c r="H86" s="36">
        <v>44.674860000000002</v>
      </c>
      <c r="I86" s="36"/>
      <c r="J86" s="37">
        <f t="shared" si="2"/>
        <v>1.2409683333333334E-2</v>
      </c>
      <c r="L86" s="35"/>
      <c r="M86" s="36"/>
      <c r="N86" s="36"/>
      <c r="O86" s="36"/>
      <c r="P86" s="36"/>
      <c r="Q86" s="36"/>
      <c r="R86" s="37">
        <f t="shared" si="3"/>
        <v>0</v>
      </c>
      <c r="S86" s="20"/>
      <c r="T86" s="41"/>
      <c r="U86" s="42"/>
      <c r="V86" s="42"/>
      <c r="W86" s="41"/>
      <c r="X86" s="42"/>
      <c r="Y86" s="43"/>
    </row>
    <row r="87" spans="1:25" x14ac:dyDescent="0.2">
      <c r="A87" s="24"/>
      <c r="B87" s="13" t="s">
        <v>127</v>
      </c>
      <c r="C87" s="13">
        <v>22</v>
      </c>
      <c r="D87" s="14">
        <v>965.65599999999995</v>
      </c>
      <c r="E87" s="15">
        <v>46.583618000000001</v>
      </c>
      <c r="F87" s="15"/>
      <c r="G87" s="15"/>
      <c r="H87" s="15"/>
      <c r="I87" s="15"/>
      <c r="J87" s="16">
        <f t="shared" si="2"/>
        <v>0</v>
      </c>
      <c r="L87" s="14"/>
      <c r="M87" s="15"/>
      <c r="N87" s="15"/>
      <c r="O87" s="15"/>
      <c r="P87" s="15"/>
      <c r="Q87" s="15"/>
      <c r="R87" s="16">
        <f t="shared" si="3"/>
        <v>0</v>
      </c>
      <c r="S87" s="20"/>
      <c r="T87" s="21" t="e">
        <f>bdrate($D87:$D90,E87:E90,$L87:$L90,M87:M90)</f>
        <v>#VALUE!</v>
      </c>
      <c r="U87" s="22" t="e">
        <f>bdrate($D87:$D90,F87:F90,$L87:$L90,N87:N90)</f>
        <v>#VALUE!</v>
      </c>
      <c r="V87" s="22" t="e">
        <f>bdrate($D87:$D90,G87:G90,$L87:$L90,O87:O90)</f>
        <v>#VALUE!</v>
      </c>
      <c r="W87" s="44" t="e">
        <f>bdrateOld($D87:$D90,E87:E90,$L87:$L90,M87:M90)</f>
        <v>#VALUE!</v>
      </c>
      <c r="X87" s="45" t="e">
        <f>bdrateOld($D87:$D90,F87:F90,$L87:$L90,N87:N90)</f>
        <v>#VALUE!</v>
      </c>
      <c r="Y87" s="46" t="e">
        <f>bdrateOld($D87:$D90,G87:G90,$L87:$L90,O87:O90)</f>
        <v>#VALUE!</v>
      </c>
    </row>
    <row r="88" spans="1:25" x14ac:dyDescent="0.2">
      <c r="A88" s="24"/>
      <c r="B88" s="152">
        <v>400</v>
      </c>
      <c r="C88" s="24">
        <v>27</v>
      </c>
      <c r="D88" s="25">
        <v>322.16800000000001</v>
      </c>
      <c r="E88" s="26">
        <v>44.767392000000001</v>
      </c>
      <c r="F88" s="26"/>
      <c r="G88" s="26"/>
      <c r="H88" s="26"/>
      <c r="I88" s="26"/>
      <c r="J88" s="27">
        <f t="shared" si="2"/>
        <v>0</v>
      </c>
      <c r="L88" s="25"/>
      <c r="M88" s="26"/>
      <c r="N88" s="26"/>
      <c r="O88" s="26"/>
      <c r="P88" s="26"/>
      <c r="Q88" s="26"/>
      <c r="R88" s="27">
        <f t="shared" si="3"/>
        <v>0</v>
      </c>
      <c r="S88" s="20"/>
      <c r="T88" s="31"/>
      <c r="U88" s="32"/>
      <c r="V88" s="32"/>
      <c r="W88" s="31"/>
      <c r="X88" s="32"/>
      <c r="Y88" s="33"/>
    </row>
    <row r="89" spans="1:25" x14ac:dyDescent="0.2">
      <c r="A89" s="24"/>
      <c r="B89" s="24" t="s">
        <v>128</v>
      </c>
      <c r="C89" s="24">
        <v>32</v>
      </c>
      <c r="D89" s="25">
        <v>135.88800000000001</v>
      </c>
      <c r="E89" s="26">
        <v>43.144717</v>
      </c>
      <c r="F89" s="26"/>
      <c r="G89" s="26"/>
      <c r="H89" s="26"/>
      <c r="I89" s="26"/>
      <c r="J89" s="27">
        <f t="shared" si="2"/>
        <v>0</v>
      </c>
      <c r="L89" s="25"/>
      <c r="M89" s="26"/>
      <c r="N89" s="26"/>
      <c r="O89" s="26"/>
      <c r="P89" s="26"/>
      <c r="Q89" s="26"/>
      <c r="R89" s="27">
        <f t="shared" si="3"/>
        <v>0</v>
      </c>
      <c r="S89" s="20"/>
      <c r="T89" s="31"/>
      <c r="U89" s="32"/>
      <c r="V89" s="32"/>
      <c r="W89" s="31"/>
      <c r="X89" s="32"/>
      <c r="Y89" s="33"/>
    </row>
    <row r="90" spans="1:25" ht="12.75" thickBot="1" x14ac:dyDescent="0.25">
      <c r="A90" s="24"/>
      <c r="B90" s="34"/>
      <c r="C90" s="34">
        <v>37</v>
      </c>
      <c r="D90" s="35">
        <v>69.024000000000001</v>
      </c>
      <c r="E90" s="36">
        <v>41.614162999999998</v>
      </c>
      <c r="F90" s="36"/>
      <c r="G90" s="36"/>
      <c r="H90" s="36"/>
      <c r="I90" s="36"/>
      <c r="J90" s="37">
        <f t="shared" si="2"/>
        <v>0</v>
      </c>
      <c r="L90" s="35"/>
      <c r="M90" s="36"/>
      <c r="N90" s="36"/>
      <c r="O90" s="36"/>
      <c r="P90" s="36"/>
      <c r="Q90" s="36"/>
      <c r="R90" s="37">
        <f t="shared" si="3"/>
        <v>0</v>
      </c>
      <c r="S90" s="20"/>
      <c r="T90" s="41"/>
      <c r="U90" s="42"/>
      <c r="V90" s="42"/>
      <c r="W90" s="41"/>
      <c r="X90" s="42"/>
      <c r="Y90" s="43"/>
    </row>
    <row r="91" spans="1:25" x14ac:dyDescent="0.2">
      <c r="A91" s="24"/>
      <c r="B91" s="13"/>
      <c r="C91" s="13">
        <v>22</v>
      </c>
      <c r="D91" s="14"/>
      <c r="E91" s="15"/>
      <c r="F91" s="15"/>
      <c r="G91" s="15"/>
      <c r="H91" s="15"/>
      <c r="I91" s="15"/>
      <c r="J91" s="16">
        <f t="shared" si="2"/>
        <v>0</v>
      </c>
      <c r="L91" s="14"/>
      <c r="M91" s="15"/>
      <c r="N91" s="15"/>
      <c r="O91" s="15"/>
      <c r="P91" s="15"/>
      <c r="Q91" s="15"/>
      <c r="R91" s="16">
        <f t="shared" si="3"/>
        <v>0</v>
      </c>
      <c r="S91" s="20"/>
      <c r="T91" s="21" t="e">
        <f>bdrate($D91:$D94,E91:E94,$L91:$L94,M91:M94)</f>
        <v>#VALUE!</v>
      </c>
      <c r="U91" s="22" t="e">
        <f>bdrate($D91:$D94,F91:F94,$L91:$L94,N91:N94)</f>
        <v>#VALUE!</v>
      </c>
      <c r="V91" s="22" t="e">
        <f>bdrate($D91:$D94,G91:G94,$L91:$L94,O91:O94)</f>
        <v>#VALUE!</v>
      </c>
      <c r="W91" s="44" t="e">
        <f>bdrateOld($D91:$D94,E91:E94,$L91:$L94,M91:M94)</f>
        <v>#VALUE!</v>
      </c>
      <c r="X91" s="45" t="e">
        <f>bdrateOld($D91:$D94,F91:F94,$L91:$L94,N91:N94)</f>
        <v>#VALUE!</v>
      </c>
      <c r="Y91" s="46" t="e">
        <f>bdrateOld($D91:$D94,G91:G94,$L91:$L94,O91:O94)</f>
        <v>#VALUE!</v>
      </c>
    </row>
    <row r="92" spans="1:25" x14ac:dyDescent="0.2">
      <c r="A92" s="24"/>
      <c r="B92" s="24"/>
      <c r="C92" s="24">
        <v>27</v>
      </c>
      <c r="D92" s="25"/>
      <c r="E92" s="26"/>
      <c r="F92" s="26"/>
      <c r="G92" s="26"/>
      <c r="H92" s="26"/>
      <c r="I92" s="26"/>
      <c r="J92" s="27">
        <f t="shared" si="2"/>
        <v>0</v>
      </c>
      <c r="L92" s="25"/>
      <c r="M92" s="26"/>
      <c r="N92" s="26"/>
      <c r="O92" s="26"/>
      <c r="P92" s="26"/>
      <c r="Q92" s="26"/>
      <c r="R92" s="27">
        <f t="shared" si="3"/>
        <v>0</v>
      </c>
      <c r="S92" s="20"/>
      <c r="T92" s="31"/>
      <c r="U92" s="32"/>
      <c r="V92" s="32"/>
      <c r="W92" s="31"/>
      <c r="X92" s="32"/>
      <c r="Y92" s="33"/>
    </row>
    <row r="93" spans="1:25" x14ac:dyDescent="0.2">
      <c r="A93" s="24"/>
      <c r="B93" s="24"/>
      <c r="C93" s="24">
        <v>32</v>
      </c>
      <c r="D93" s="25"/>
      <c r="E93" s="26"/>
      <c r="F93" s="26"/>
      <c r="G93" s="26"/>
      <c r="H93" s="26"/>
      <c r="I93" s="26"/>
      <c r="J93" s="27">
        <f t="shared" si="2"/>
        <v>0</v>
      </c>
      <c r="L93" s="25"/>
      <c r="M93" s="26"/>
      <c r="N93" s="26"/>
      <c r="O93" s="26"/>
      <c r="P93" s="26"/>
      <c r="Q93" s="26"/>
      <c r="R93" s="27">
        <f t="shared" si="3"/>
        <v>0</v>
      </c>
      <c r="S93" s="20"/>
      <c r="T93" s="31"/>
      <c r="U93" s="32"/>
      <c r="V93" s="32"/>
      <c r="W93" s="31"/>
      <c r="X93" s="32"/>
      <c r="Y93" s="33"/>
    </row>
    <row r="94" spans="1:25" ht="12.75" thickBot="1" x14ac:dyDescent="0.25">
      <c r="A94" s="24"/>
      <c r="B94" s="34"/>
      <c r="C94" s="34">
        <v>37</v>
      </c>
      <c r="D94" s="35"/>
      <c r="E94" s="36"/>
      <c r="F94" s="36"/>
      <c r="G94" s="36"/>
      <c r="H94" s="36"/>
      <c r="I94" s="36"/>
      <c r="J94" s="37">
        <f t="shared" si="2"/>
        <v>0</v>
      </c>
      <c r="L94" s="35"/>
      <c r="M94" s="36"/>
      <c r="N94" s="36"/>
      <c r="O94" s="36"/>
      <c r="P94" s="36"/>
      <c r="Q94" s="36"/>
      <c r="R94" s="37">
        <f t="shared" si="3"/>
        <v>0</v>
      </c>
      <c r="S94" s="20"/>
      <c r="T94" s="41"/>
      <c r="U94" s="42"/>
      <c r="V94" s="42"/>
      <c r="W94" s="41"/>
      <c r="X94" s="42"/>
      <c r="Y94" s="43"/>
    </row>
    <row r="95" spans="1:25" x14ac:dyDescent="0.2">
      <c r="A95" s="24"/>
      <c r="B95" s="13"/>
      <c r="C95" s="13">
        <v>22</v>
      </c>
      <c r="D95" s="14"/>
      <c r="E95" s="15"/>
      <c r="F95" s="15"/>
      <c r="G95" s="15"/>
      <c r="H95" s="15"/>
      <c r="I95" s="15"/>
      <c r="J95" s="16">
        <f t="shared" si="2"/>
        <v>0</v>
      </c>
      <c r="L95" s="14"/>
      <c r="M95" s="15"/>
      <c r="N95" s="15"/>
      <c r="O95" s="15"/>
      <c r="P95" s="15"/>
      <c r="Q95" s="15"/>
      <c r="R95" s="16">
        <f t="shared" si="3"/>
        <v>0</v>
      </c>
      <c r="S95" s="20"/>
      <c r="T95" s="21" t="e">
        <f>bdrate($D95:$D98,E95:E98,$L95:$L98,M95:M98)</f>
        <v>#VALUE!</v>
      </c>
      <c r="U95" s="22" t="e">
        <f>bdrate($D95:$D98,F95:F98,$L95:$L98,N95:N98)</f>
        <v>#VALUE!</v>
      </c>
      <c r="V95" s="22" t="e">
        <f>bdrate($D95:$D98,G95:G98,$L95:$L98,O95:O98)</f>
        <v>#VALUE!</v>
      </c>
      <c r="W95" s="44" t="e">
        <f>bdrateOld($D95:$D98,E95:E98,$L95:$L98,M95:M98)</f>
        <v>#VALUE!</v>
      </c>
      <c r="X95" s="45" t="e">
        <f>bdrateOld($D95:$D98,F95:F98,$L95:$L98,N95:N98)</f>
        <v>#VALUE!</v>
      </c>
      <c r="Y95" s="46" t="e">
        <f>bdrateOld($D95:$D98,G95:G98,$L95:$L98,O95:O98)</f>
        <v>#VALUE!</v>
      </c>
    </row>
    <row r="96" spans="1:25" x14ac:dyDescent="0.2">
      <c r="A96" s="24"/>
      <c r="B96" s="24"/>
      <c r="C96" s="24">
        <v>27</v>
      </c>
      <c r="D96" s="25"/>
      <c r="E96" s="26"/>
      <c r="F96" s="26"/>
      <c r="G96" s="26"/>
      <c r="H96" s="26"/>
      <c r="I96" s="26"/>
      <c r="J96" s="27">
        <f t="shared" si="2"/>
        <v>0</v>
      </c>
      <c r="L96" s="25"/>
      <c r="M96" s="26"/>
      <c r="N96" s="26"/>
      <c r="O96" s="26"/>
      <c r="P96" s="26"/>
      <c r="Q96" s="26"/>
      <c r="R96" s="27">
        <f t="shared" si="3"/>
        <v>0</v>
      </c>
      <c r="S96" s="20"/>
      <c r="T96" s="31"/>
      <c r="U96" s="32"/>
      <c r="V96" s="32"/>
      <c r="W96" s="31"/>
      <c r="X96" s="32"/>
      <c r="Y96" s="33"/>
    </row>
    <row r="97" spans="1:25" x14ac:dyDescent="0.2">
      <c r="A97" s="24"/>
      <c r="B97" s="24"/>
      <c r="C97" s="24">
        <v>32</v>
      </c>
      <c r="D97" s="25"/>
      <c r="E97" s="26"/>
      <c r="F97" s="26"/>
      <c r="G97" s="26"/>
      <c r="H97" s="26"/>
      <c r="I97" s="26"/>
      <c r="J97" s="27">
        <f t="shared" si="2"/>
        <v>0</v>
      </c>
      <c r="L97" s="25"/>
      <c r="M97" s="26"/>
      <c r="N97" s="26"/>
      <c r="O97" s="26"/>
      <c r="P97" s="26"/>
      <c r="Q97" s="26"/>
      <c r="R97" s="27">
        <f t="shared" si="3"/>
        <v>0</v>
      </c>
      <c r="S97" s="20"/>
      <c r="T97" s="31"/>
      <c r="U97" s="32"/>
      <c r="V97" s="32"/>
      <c r="W97" s="31"/>
      <c r="X97" s="32"/>
      <c r="Y97" s="33"/>
    </row>
    <row r="98" spans="1:25" ht="12.75" thickBot="1" x14ac:dyDescent="0.25">
      <c r="A98" s="24"/>
      <c r="B98" s="34"/>
      <c r="C98" s="34">
        <v>37</v>
      </c>
      <c r="D98" s="35"/>
      <c r="E98" s="36"/>
      <c r="F98" s="36"/>
      <c r="G98" s="36"/>
      <c r="H98" s="36"/>
      <c r="I98" s="36"/>
      <c r="J98" s="37">
        <f t="shared" si="2"/>
        <v>0</v>
      </c>
      <c r="L98" s="35"/>
      <c r="M98" s="36"/>
      <c r="N98" s="36"/>
      <c r="O98" s="36"/>
      <c r="P98" s="36"/>
      <c r="Q98" s="36"/>
      <c r="R98" s="37">
        <f t="shared" si="3"/>
        <v>0</v>
      </c>
      <c r="S98" s="20"/>
      <c r="T98" s="41"/>
      <c r="U98" s="42"/>
      <c r="V98" s="42"/>
      <c r="W98" s="41"/>
      <c r="X98" s="42"/>
      <c r="Y98" s="43"/>
    </row>
    <row r="99" spans="1:25" x14ac:dyDescent="0.2">
      <c r="A99" s="24"/>
      <c r="B99" s="13"/>
      <c r="C99" s="13">
        <v>22</v>
      </c>
      <c r="D99" s="14"/>
      <c r="E99" s="15"/>
      <c r="F99" s="15"/>
      <c r="G99" s="15"/>
      <c r="H99" s="15"/>
      <c r="I99" s="15"/>
      <c r="J99" s="16">
        <f t="shared" si="2"/>
        <v>0</v>
      </c>
      <c r="L99" s="14"/>
      <c r="M99" s="15"/>
      <c r="N99" s="15"/>
      <c r="O99" s="15"/>
      <c r="P99" s="15"/>
      <c r="Q99" s="15"/>
      <c r="R99" s="16">
        <f t="shared" si="3"/>
        <v>0</v>
      </c>
      <c r="S99" s="20"/>
      <c r="T99" s="21" t="e">
        <f>bdrate($D99:$D102,E99:E102,$L99:$L102,M99:M102)</f>
        <v>#VALUE!</v>
      </c>
      <c r="U99" s="22" t="e">
        <f>bdrate($D99:$D102,F99:F102,$L99:$L102,N99:N102)</f>
        <v>#VALUE!</v>
      </c>
      <c r="V99" s="22" t="e">
        <f>bdrate($D99:$D102,G99:G102,$L99:$L102,O99:O102)</f>
        <v>#VALUE!</v>
      </c>
      <c r="W99" s="44" t="e">
        <f>bdrateOld($D99:$D102,E99:E102,$L99:$L102,M99:M102)</f>
        <v>#VALUE!</v>
      </c>
      <c r="X99" s="45" t="e">
        <f>bdrateOld($D99:$D102,F99:F102,$L99:$L102,N99:N102)</f>
        <v>#VALUE!</v>
      </c>
      <c r="Y99" s="46" t="e">
        <f>bdrateOld($D99:$D102,G99:G102,$L99:$L102,O99:O102)</f>
        <v>#VALUE!</v>
      </c>
    </row>
    <row r="100" spans="1:25" x14ac:dyDescent="0.2">
      <c r="A100" s="24"/>
      <c r="B100" s="24"/>
      <c r="C100" s="24">
        <v>27</v>
      </c>
      <c r="D100" s="25"/>
      <c r="E100" s="26"/>
      <c r="F100" s="26"/>
      <c r="G100" s="26"/>
      <c r="H100" s="26"/>
      <c r="I100" s="26"/>
      <c r="J100" s="27">
        <f t="shared" si="2"/>
        <v>0</v>
      </c>
      <c r="L100" s="25"/>
      <c r="M100" s="26"/>
      <c r="N100" s="26"/>
      <c r="O100" s="26"/>
      <c r="P100" s="26"/>
      <c r="Q100" s="26"/>
      <c r="R100" s="27">
        <f t="shared" si="3"/>
        <v>0</v>
      </c>
      <c r="S100" s="20"/>
      <c r="T100" s="31"/>
      <c r="U100" s="32"/>
      <c r="V100" s="32"/>
      <c r="W100" s="31"/>
      <c r="X100" s="32"/>
      <c r="Y100" s="33"/>
    </row>
    <row r="101" spans="1:25" x14ac:dyDescent="0.2">
      <c r="A101" s="24"/>
      <c r="B101" s="24"/>
      <c r="C101" s="24">
        <v>32</v>
      </c>
      <c r="D101" s="25"/>
      <c r="E101" s="26"/>
      <c r="F101" s="26"/>
      <c r="G101" s="26"/>
      <c r="H101" s="26"/>
      <c r="I101" s="26"/>
      <c r="J101" s="27">
        <f t="shared" si="2"/>
        <v>0</v>
      </c>
      <c r="L101" s="25"/>
      <c r="M101" s="26"/>
      <c r="N101" s="26"/>
      <c r="O101" s="26"/>
      <c r="P101" s="26"/>
      <c r="Q101" s="26"/>
      <c r="R101" s="27">
        <f t="shared" si="3"/>
        <v>0</v>
      </c>
      <c r="S101" s="20"/>
      <c r="T101" s="31"/>
      <c r="U101" s="32"/>
      <c r="V101" s="32"/>
      <c r="W101" s="31"/>
      <c r="X101" s="32"/>
      <c r="Y101" s="33"/>
    </row>
    <row r="102" spans="1:25" ht="12.75" thickBot="1" x14ac:dyDescent="0.25">
      <c r="A102" s="24"/>
      <c r="B102" s="34"/>
      <c r="C102" s="34">
        <v>37</v>
      </c>
      <c r="D102" s="35"/>
      <c r="E102" s="36"/>
      <c r="F102" s="36"/>
      <c r="G102" s="36"/>
      <c r="H102" s="36"/>
      <c r="I102" s="36"/>
      <c r="J102" s="37">
        <f t="shared" si="2"/>
        <v>0</v>
      </c>
      <c r="L102" s="35"/>
      <c r="M102" s="36"/>
      <c r="N102" s="36"/>
      <c r="O102" s="36"/>
      <c r="P102" s="36"/>
      <c r="Q102" s="36"/>
      <c r="R102" s="37">
        <f t="shared" si="3"/>
        <v>0</v>
      </c>
      <c r="S102" s="20"/>
      <c r="T102" s="41"/>
      <c r="U102" s="42"/>
      <c r="V102" s="42"/>
      <c r="W102" s="41"/>
      <c r="X102" s="42"/>
      <c r="Y102" s="43"/>
    </row>
    <row r="103" spans="1:25" x14ac:dyDescent="0.2">
      <c r="A103" s="24"/>
      <c r="B103" s="13"/>
      <c r="C103" s="13">
        <v>22</v>
      </c>
      <c r="D103" s="14"/>
      <c r="E103" s="15"/>
      <c r="F103" s="15"/>
      <c r="G103" s="15"/>
      <c r="H103" s="15"/>
      <c r="I103" s="15"/>
      <c r="J103" s="16">
        <f t="shared" si="2"/>
        <v>0</v>
      </c>
      <c r="L103" s="14"/>
      <c r="M103" s="15"/>
      <c r="N103" s="15"/>
      <c r="O103" s="15"/>
      <c r="P103" s="15"/>
      <c r="Q103" s="15"/>
      <c r="R103" s="16">
        <f t="shared" si="3"/>
        <v>0</v>
      </c>
      <c r="S103" s="20"/>
      <c r="T103" s="21" t="e">
        <f>bdrate($D103:$D106,E103:E106,$L103:$L106,M103:M106)</f>
        <v>#VALUE!</v>
      </c>
      <c r="U103" s="22" t="e">
        <f>bdrate($D103:$D106,F103:F106,$L103:$L106,N103:N106)</f>
        <v>#VALUE!</v>
      </c>
      <c r="V103" s="22" t="e">
        <f>bdrate($D103:$D106,G103:G106,$L103:$L106,O103:O106)</f>
        <v>#VALUE!</v>
      </c>
      <c r="W103" s="44" t="e">
        <f>bdrateOld($D103:$D106,E103:E106,$L103:$L106,M103:M106)</f>
        <v>#VALUE!</v>
      </c>
      <c r="X103" s="45" t="e">
        <f>bdrateOld($D103:$D106,F103:F106,$L103:$L106,N103:N106)</f>
        <v>#VALUE!</v>
      </c>
      <c r="Y103" s="46" t="e">
        <f>bdrateOld($D103:$D106,G103:G106,$L103:$L106,O103:O106)</f>
        <v>#VALUE!</v>
      </c>
    </row>
    <row r="104" spans="1:25" x14ac:dyDescent="0.2">
      <c r="A104" s="24"/>
      <c r="B104" s="24"/>
      <c r="C104" s="24">
        <v>27</v>
      </c>
      <c r="D104" s="25"/>
      <c r="E104" s="26"/>
      <c r="F104" s="26"/>
      <c r="G104" s="26"/>
      <c r="H104" s="26"/>
      <c r="I104" s="26"/>
      <c r="J104" s="27">
        <f t="shared" si="2"/>
        <v>0</v>
      </c>
      <c r="L104" s="25"/>
      <c r="M104" s="26"/>
      <c r="N104" s="26"/>
      <c r="O104" s="26"/>
      <c r="P104" s="26"/>
      <c r="Q104" s="26"/>
      <c r="R104" s="27">
        <f t="shared" si="3"/>
        <v>0</v>
      </c>
      <c r="S104" s="20"/>
      <c r="T104" s="31"/>
      <c r="U104" s="32"/>
      <c r="V104" s="32"/>
      <c r="W104" s="31"/>
      <c r="X104" s="32"/>
      <c r="Y104" s="33"/>
    </row>
    <row r="105" spans="1:25" x14ac:dyDescent="0.2">
      <c r="A105" s="24"/>
      <c r="B105" s="24"/>
      <c r="C105" s="24">
        <v>32</v>
      </c>
      <c r="D105" s="25"/>
      <c r="E105" s="26"/>
      <c r="F105" s="26"/>
      <c r="G105" s="26"/>
      <c r="H105" s="26"/>
      <c r="I105" s="26"/>
      <c r="J105" s="27">
        <f t="shared" si="2"/>
        <v>0</v>
      </c>
      <c r="L105" s="25"/>
      <c r="M105" s="26"/>
      <c r="N105" s="26"/>
      <c r="O105" s="26"/>
      <c r="P105" s="26"/>
      <c r="Q105" s="26"/>
      <c r="R105" s="27">
        <f t="shared" si="3"/>
        <v>0</v>
      </c>
      <c r="S105" s="20"/>
      <c r="T105" s="31"/>
      <c r="U105" s="32"/>
      <c r="V105" s="32"/>
      <c r="W105" s="31"/>
      <c r="X105" s="32"/>
      <c r="Y105" s="33"/>
    </row>
    <row r="106" spans="1:25" ht="12.75" thickBot="1" x14ac:dyDescent="0.25">
      <c r="A106" s="34"/>
      <c r="B106" s="34"/>
      <c r="C106" s="34">
        <v>37</v>
      </c>
      <c r="D106" s="35"/>
      <c r="E106" s="36"/>
      <c r="F106" s="36"/>
      <c r="G106" s="36"/>
      <c r="H106" s="36"/>
      <c r="I106" s="36"/>
      <c r="J106" s="37">
        <f t="shared" si="2"/>
        <v>0</v>
      </c>
      <c r="L106" s="35"/>
      <c r="M106" s="36"/>
      <c r="N106" s="36"/>
      <c r="O106" s="36"/>
      <c r="P106" s="36"/>
      <c r="Q106" s="36"/>
      <c r="R106" s="37">
        <f t="shared" si="3"/>
        <v>0</v>
      </c>
      <c r="S106" s="20"/>
      <c r="T106" s="41"/>
      <c r="U106" s="42"/>
      <c r="V106" s="42"/>
      <c r="W106" s="41"/>
      <c r="X106" s="42"/>
      <c r="Y106" s="43"/>
    </row>
    <row r="107" spans="1:25" x14ac:dyDescent="0.2">
      <c r="A107" s="13" t="s">
        <v>119</v>
      </c>
      <c r="B107" s="13" t="s">
        <v>109</v>
      </c>
      <c r="C107" s="13">
        <v>22</v>
      </c>
      <c r="D107" s="17">
        <v>211.94399999999999</v>
      </c>
      <c r="E107" s="18">
        <v>52.438383999999999</v>
      </c>
      <c r="F107" s="18">
        <v>47.099260999999998</v>
      </c>
      <c r="G107" s="18">
        <v>47.165883000000001</v>
      </c>
      <c r="H107" s="18">
        <v>48.296363999999997</v>
      </c>
      <c r="I107" s="18"/>
      <c r="J107" s="16">
        <f>H107/3600</f>
        <v>1.3415656666666666E-2</v>
      </c>
      <c r="L107" s="17"/>
      <c r="M107" s="18"/>
      <c r="N107" s="18"/>
      <c r="O107" s="18"/>
      <c r="P107" s="18"/>
      <c r="Q107" s="18"/>
      <c r="R107" s="19">
        <f>P107/3600</f>
        <v>0</v>
      </c>
      <c r="S107" s="20"/>
      <c r="T107" s="21" t="e">
        <f>bdrate($D107:$D110,E107:E110,$L107:$L110,M107:M110)</f>
        <v>#VALUE!</v>
      </c>
      <c r="U107" s="22" t="e">
        <f>bdrate($D107:$D110,F107:F110,$L107:$L110,N107:N110)</f>
        <v>#VALUE!</v>
      </c>
      <c r="V107" s="23" t="e">
        <f>bdrate($D107:$D110,G107:G110,$L107:$L110,O107:O110)</f>
        <v>#VALUE!</v>
      </c>
      <c r="W107" s="21" t="e">
        <f>bdrateOld($D107:$D110,E107:E110,$L107:$L110,M107:M110)</f>
        <v>#VALUE!</v>
      </c>
      <c r="X107" s="22" t="e">
        <f>bdrateOld($D107:$D110,F107:F110,$L107:$L110,N107:N110)</f>
        <v>#VALUE!</v>
      </c>
      <c r="Y107" s="23" t="e">
        <f>bdrateOld($D107:$D110,G107:G110,$L107:$L110,O107:O110)</f>
        <v>#VALUE!</v>
      </c>
    </row>
    <row r="108" spans="1:25" x14ac:dyDescent="0.2">
      <c r="A108" s="24"/>
      <c r="B108" s="24" t="s">
        <v>110</v>
      </c>
      <c r="C108" s="24">
        <v>27</v>
      </c>
      <c r="D108" s="28">
        <v>40.887999999999998</v>
      </c>
      <c r="E108" s="29">
        <v>52.070557000000001</v>
      </c>
      <c r="F108" s="29">
        <v>46.771380999999998</v>
      </c>
      <c r="G108" s="29">
        <v>46.748629999999999</v>
      </c>
      <c r="H108" s="29">
        <v>47.924505000000003</v>
      </c>
      <c r="I108" s="29"/>
      <c r="J108" s="27">
        <f t="shared" ref="J108:J158" si="4">H108/3600</f>
        <v>1.3312362500000001E-2</v>
      </c>
      <c r="L108" s="28"/>
      <c r="M108" s="29"/>
      <c r="N108" s="29"/>
      <c r="O108" s="29"/>
      <c r="P108" s="29"/>
      <c r="Q108" s="29"/>
      <c r="R108" s="30">
        <f t="shared" ref="R108:R158" si="5">P108/3600</f>
        <v>0</v>
      </c>
      <c r="S108" s="20"/>
      <c r="T108" s="31"/>
      <c r="U108" s="32"/>
      <c r="V108" s="33"/>
      <c r="W108" s="31"/>
      <c r="X108" s="32"/>
      <c r="Y108" s="33"/>
    </row>
    <row r="109" spans="1:25" x14ac:dyDescent="0.2">
      <c r="A109" s="24"/>
      <c r="B109" s="24"/>
      <c r="C109" s="24">
        <v>32</v>
      </c>
      <c r="D109" s="28">
        <v>13.832000000000001</v>
      </c>
      <c r="E109" s="29">
        <v>51.462806</v>
      </c>
      <c r="F109" s="29">
        <v>46.570602999999998</v>
      </c>
      <c r="G109" s="29">
        <v>46.513427999999998</v>
      </c>
      <c r="H109" s="29">
        <v>47.654434999999999</v>
      </c>
      <c r="I109" s="29"/>
      <c r="J109" s="27">
        <f t="shared" si="4"/>
        <v>1.3237343055555555E-2</v>
      </c>
      <c r="L109" s="28"/>
      <c r="M109" s="29"/>
      <c r="N109" s="29"/>
      <c r="O109" s="29"/>
      <c r="P109" s="29"/>
      <c r="Q109" s="29"/>
      <c r="R109" s="30">
        <f t="shared" si="5"/>
        <v>0</v>
      </c>
      <c r="S109" s="20"/>
      <c r="T109" s="31"/>
      <c r="U109" s="32"/>
      <c r="V109" s="33"/>
      <c r="W109" s="31"/>
      <c r="X109" s="32"/>
      <c r="Y109" s="33"/>
    </row>
    <row r="110" spans="1:25" ht="12.75" thickBot="1" x14ac:dyDescent="0.25">
      <c r="A110" s="24"/>
      <c r="B110" s="34"/>
      <c r="C110" s="34">
        <v>37</v>
      </c>
      <c r="D110" s="38">
        <v>8.64</v>
      </c>
      <c r="E110" s="39">
        <v>50.705590999999998</v>
      </c>
      <c r="F110" s="39">
        <v>46.341321999999998</v>
      </c>
      <c r="G110" s="39">
        <v>46.165197999999997</v>
      </c>
      <c r="H110" s="39">
        <v>47.296934</v>
      </c>
      <c r="I110" s="39"/>
      <c r="J110" s="37">
        <f t="shared" si="4"/>
        <v>1.3138037222222222E-2</v>
      </c>
      <c r="L110" s="38"/>
      <c r="M110" s="39"/>
      <c r="N110" s="39"/>
      <c r="O110" s="39"/>
      <c r="P110" s="39"/>
      <c r="Q110" s="39"/>
      <c r="R110" s="40">
        <f t="shared" si="5"/>
        <v>0</v>
      </c>
      <c r="S110" s="20"/>
      <c r="T110" s="41"/>
      <c r="U110" s="42"/>
      <c r="V110" s="43"/>
      <c r="W110" s="41"/>
      <c r="X110" s="42"/>
      <c r="Y110" s="43"/>
    </row>
    <row r="111" spans="1:25" x14ac:dyDescent="0.2">
      <c r="A111" s="24"/>
      <c r="B111" s="13" t="s">
        <v>111</v>
      </c>
      <c r="C111" s="13">
        <v>22</v>
      </c>
      <c r="D111" s="17">
        <v>586.75199999999995</v>
      </c>
      <c r="E111" s="18">
        <v>51.121566999999999</v>
      </c>
      <c r="F111" s="18">
        <v>46.063957000000002</v>
      </c>
      <c r="G111" s="18">
        <v>46.203066</v>
      </c>
      <c r="H111" s="18">
        <v>47.254798000000001</v>
      </c>
      <c r="I111" s="18"/>
      <c r="J111" s="16">
        <f t="shared" si="4"/>
        <v>1.3126332777777777E-2</v>
      </c>
      <c r="L111" s="17"/>
      <c r="M111" s="18"/>
      <c r="N111" s="18"/>
      <c r="O111" s="18"/>
      <c r="P111" s="18"/>
      <c r="Q111" s="18"/>
      <c r="R111" s="19">
        <f t="shared" si="5"/>
        <v>0</v>
      </c>
      <c r="S111" s="20"/>
      <c r="T111" s="21" t="e">
        <f>bdrate($D111:$D114,E111:E114,$L111:$L114,M111:M114)</f>
        <v>#VALUE!</v>
      </c>
      <c r="U111" s="22" t="e">
        <f>bdrate($D111:$D114,F111:F114,$L111:$L114,N111:N114)</f>
        <v>#VALUE!</v>
      </c>
      <c r="V111" s="22" t="e">
        <f>bdrate($D111:$D114,G111:G114,$L111:$L114,O111:O114)</f>
        <v>#VALUE!</v>
      </c>
      <c r="W111" s="44" t="e">
        <f>bdrateOld($D111:$D114,E111:E114,$L111:$L114,M111:M114)</f>
        <v>#VALUE!</v>
      </c>
      <c r="X111" s="45" t="e">
        <f>bdrateOld($D111:$D114,F111:F114,$L111:$L114,N111:N114)</f>
        <v>#VALUE!</v>
      </c>
      <c r="Y111" s="46" t="e">
        <f>bdrateOld($D111:$D114,G111:G114,$L111:$L114,O111:O114)</f>
        <v>#VALUE!</v>
      </c>
    </row>
    <row r="112" spans="1:25" x14ac:dyDescent="0.2">
      <c r="A112" s="24"/>
      <c r="B112" s="24"/>
      <c r="C112" s="24">
        <v>27</v>
      </c>
      <c r="D112" s="28">
        <v>108.52</v>
      </c>
      <c r="E112" s="29">
        <v>50.537252000000002</v>
      </c>
      <c r="F112" s="29">
        <v>45.070571999999999</v>
      </c>
      <c r="G112" s="29">
        <v>45.137416000000002</v>
      </c>
      <c r="H112" s="29">
        <v>46.283946</v>
      </c>
      <c r="I112" s="29"/>
      <c r="J112" s="27">
        <f t="shared" si="4"/>
        <v>1.2856651666666667E-2</v>
      </c>
      <c r="L112" s="28"/>
      <c r="M112" s="29"/>
      <c r="N112" s="29"/>
      <c r="O112" s="29"/>
      <c r="P112" s="29"/>
      <c r="Q112" s="29"/>
      <c r="R112" s="30">
        <f t="shared" si="5"/>
        <v>0</v>
      </c>
      <c r="S112" s="20"/>
      <c r="T112" s="31"/>
      <c r="U112" s="32"/>
      <c r="V112" s="32"/>
      <c r="W112" s="31"/>
      <c r="X112" s="32"/>
      <c r="Y112" s="33"/>
    </row>
    <row r="113" spans="1:25" x14ac:dyDescent="0.2">
      <c r="A113" s="24"/>
      <c r="B113" s="24"/>
      <c r="C113" s="24">
        <v>32</v>
      </c>
      <c r="D113" s="28">
        <v>38.880000000000003</v>
      </c>
      <c r="E113" s="29">
        <v>49.773477999999997</v>
      </c>
      <c r="F113" s="29">
        <v>44.673969999999997</v>
      </c>
      <c r="G113" s="29">
        <v>44.682909000000002</v>
      </c>
      <c r="H113" s="29">
        <v>45.814691000000003</v>
      </c>
      <c r="I113" s="29"/>
      <c r="J113" s="27">
        <f t="shared" si="4"/>
        <v>1.2726303055555556E-2</v>
      </c>
      <c r="L113" s="28"/>
      <c r="M113" s="29"/>
      <c r="N113" s="29"/>
      <c r="O113" s="29"/>
      <c r="P113" s="29"/>
      <c r="Q113" s="29"/>
      <c r="R113" s="30">
        <f t="shared" si="5"/>
        <v>0</v>
      </c>
      <c r="S113" s="20"/>
      <c r="T113" s="31"/>
      <c r="U113" s="47"/>
      <c r="V113" s="32"/>
      <c r="W113" s="31"/>
      <c r="X113" s="32"/>
      <c r="Y113" s="33"/>
    </row>
    <row r="114" spans="1:25" ht="12.75" thickBot="1" x14ac:dyDescent="0.25">
      <c r="A114" s="24"/>
      <c r="B114" s="34"/>
      <c r="C114" s="34">
        <v>37</v>
      </c>
      <c r="D114" s="38">
        <v>16.472000000000001</v>
      </c>
      <c r="E114" s="39">
        <v>48.495438</v>
      </c>
      <c r="F114" s="39">
        <v>44.243459999999999</v>
      </c>
      <c r="G114" s="39">
        <v>44.188718999999999</v>
      </c>
      <c r="H114" s="39">
        <v>45.233691999999998</v>
      </c>
      <c r="I114" s="39"/>
      <c r="J114" s="37">
        <f t="shared" si="4"/>
        <v>1.2564914444444443E-2</v>
      </c>
      <c r="L114" s="38"/>
      <c r="M114" s="39"/>
      <c r="N114" s="39"/>
      <c r="O114" s="39"/>
      <c r="P114" s="39"/>
      <c r="Q114" s="39"/>
      <c r="R114" s="40">
        <f t="shared" si="5"/>
        <v>0</v>
      </c>
      <c r="S114" s="20"/>
      <c r="T114" s="41"/>
      <c r="U114" s="42"/>
      <c r="V114" s="42"/>
      <c r="W114" s="41"/>
      <c r="X114" s="42"/>
      <c r="Y114" s="43"/>
    </row>
    <row r="115" spans="1:25" x14ac:dyDescent="0.2">
      <c r="A115" s="118"/>
      <c r="B115" s="117" t="s">
        <v>112</v>
      </c>
      <c r="C115" s="117">
        <v>22</v>
      </c>
      <c r="D115" s="17">
        <v>439.536</v>
      </c>
      <c r="E115" s="18">
        <v>55.223526</v>
      </c>
      <c r="F115" s="18">
        <v>79.217400999999995</v>
      </c>
      <c r="G115" s="18">
        <v>80.841935000000007</v>
      </c>
      <c r="H115" s="18">
        <v>54.140092000000003</v>
      </c>
      <c r="I115" s="18"/>
      <c r="J115" s="16">
        <f t="shared" si="4"/>
        <v>1.5038914444444445E-2</v>
      </c>
      <c r="L115" s="14">
        <v>155.536</v>
      </c>
      <c r="M115" s="15">
        <v>54.83652</v>
      </c>
      <c r="N115" s="15">
        <v>78.052062000000006</v>
      </c>
      <c r="O115" s="15">
        <v>80.387326000000002</v>
      </c>
      <c r="P115" s="15">
        <v>52.552695999999997</v>
      </c>
      <c r="Q115" s="18"/>
      <c r="R115" s="19">
        <f t="shared" si="5"/>
        <v>1.4597971111111111E-2</v>
      </c>
      <c r="S115" s="20"/>
      <c r="T115" s="21">
        <f>bdrate($D115:$D118,E115:E118,$L115:$L118,M115:M118)</f>
        <v>-0.3678479344766219</v>
      </c>
      <c r="U115" s="22">
        <f>bdrate($D115:$D118,F115:F118,$L115:$L118,N115:N118)</f>
        <v>20.515926269825407</v>
      </c>
      <c r="V115" s="22">
        <f>bdrate($D115:$D118,G115:G118,$L115:$L118,O115:O118)</f>
        <v>20.666000209590507</v>
      </c>
      <c r="W115" s="44">
        <f>bdrateOld($D115:$D118,E115:E118,$L115:$L118,M115:M118)</f>
        <v>-0.3635625503324118</v>
      </c>
      <c r="X115" s="45">
        <f>bdrateOld($D115:$D118,F115:F118,$L115:$L118,N115:N118)</f>
        <v>1.0460608244560187E+32</v>
      </c>
      <c r="Y115" s="46">
        <f>bdrateOld($D115:$D118,G115:G118,$L115:$L118,O115:O118)</f>
        <v>3.099412904806308E+16</v>
      </c>
    </row>
    <row r="116" spans="1:25" x14ac:dyDescent="0.2">
      <c r="A116" s="118"/>
      <c r="B116" s="118"/>
      <c r="C116" s="118">
        <v>27</v>
      </c>
      <c r="D116" s="28">
        <v>140.82400000000001</v>
      </c>
      <c r="E116" s="29">
        <v>54.271346999999999</v>
      </c>
      <c r="F116" s="29">
        <v>57.233747000000001</v>
      </c>
      <c r="G116" s="29">
        <v>59.554454999999997</v>
      </c>
      <c r="H116" s="29">
        <v>52.411816000000002</v>
      </c>
      <c r="I116" s="29"/>
      <c r="J116" s="27">
        <f t="shared" si="4"/>
        <v>1.4558837777777778E-2</v>
      </c>
      <c r="L116" s="25">
        <v>37.44</v>
      </c>
      <c r="M116" s="26">
        <v>53.686340999999999</v>
      </c>
      <c r="N116" s="26">
        <v>522.76613399999997</v>
      </c>
      <c r="O116" s="26">
        <v>525.365993</v>
      </c>
      <c r="P116" s="26">
        <v>51.192898999999997</v>
      </c>
      <c r="Q116" s="29"/>
      <c r="R116" s="30">
        <f t="shared" si="5"/>
        <v>1.4220249722222222E-2</v>
      </c>
      <c r="S116" s="20"/>
      <c r="T116" s="31"/>
      <c r="U116" s="32"/>
      <c r="V116" s="32"/>
      <c r="W116" s="31"/>
      <c r="X116" s="32"/>
      <c r="Y116" s="33"/>
    </row>
    <row r="117" spans="1:25" x14ac:dyDescent="0.2">
      <c r="A117" s="118"/>
      <c r="B117" s="118" t="s">
        <v>126</v>
      </c>
      <c r="C117" s="118">
        <v>32</v>
      </c>
      <c r="D117" s="28">
        <v>39.176000000000002</v>
      </c>
      <c r="E117" s="29">
        <v>53.014052999999997</v>
      </c>
      <c r="F117" s="29">
        <v>522.851764</v>
      </c>
      <c r="G117" s="29">
        <v>525.49913000000004</v>
      </c>
      <c r="H117" s="29">
        <v>51.264384</v>
      </c>
      <c r="I117" s="29"/>
      <c r="J117" s="27">
        <f t="shared" si="4"/>
        <v>1.4240106666666667E-2</v>
      </c>
      <c r="L117" s="25">
        <v>16.472000000000001</v>
      </c>
      <c r="M117" s="26">
        <v>51.894156000000002</v>
      </c>
      <c r="N117" s="26">
        <v>67.712109999999996</v>
      </c>
      <c r="O117" s="26">
        <v>70.015242999999998</v>
      </c>
      <c r="P117" s="26">
        <v>49.705075000000001</v>
      </c>
      <c r="Q117" s="29"/>
      <c r="R117" s="30">
        <f t="shared" si="5"/>
        <v>1.3806965277777777E-2</v>
      </c>
      <c r="S117" s="20"/>
      <c r="T117" s="31"/>
      <c r="U117" s="32"/>
      <c r="V117" s="32"/>
      <c r="W117" s="31"/>
      <c r="X117" s="32"/>
      <c r="Y117" s="33"/>
    </row>
    <row r="118" spans="1:25" ht="12.75" thickBot="1" x14ac:dyDescent="0.25">
      <c r="A118" s="118"/>
      <c r="B118" s="119"/>
      <c r="C118" s="119">
        <v>37</v>
      </c>
      <c r="D118" s="38">
        <v>16.96</v>
      </c>
      <c r="E118" s="39">
        <v>51.183523000000001</v>
      </c>
      <c r="F118" s="39">
        <v>522.55584399999998</v>
      </c>
      <c r="G118" s="39">
        <v>524.97743100000002</v>
      </c>
      <c r="H118" s="39">
        <v>50.277479999999997</v>
      </c>
      <c r="I118" s="39"/>
      <c r="J118" s="37">
        <f t="shared" si="4"/>
        <v>1.3965966666666666E-2</v>
      </c>
      <c r="L118" s="35">
        <v>7.1520000000000001</v>
      </c>
      <c r="M118" s="36">
        <v>49.960514000000003</v>
      </c>
      <c r="N118" s="36">
        <v>521.15859499999999</v>
      </c>
      <c r="O118" s="36">
        <v>523.15467100000001</v>
      </c>
      <c r="P118" s="36">
        <v>47.603872000000003</v>
      </c>
      <c r="Q118" s="39"/>
      <c r="R118" s="40">
        <f t="shared" si="5"/>
        <v>1.3223297777777778E-2</v>
      </c>
      <c r="S118" s="20"/>
      <c r="T118" s="41"/>
      <c r="U118" s="42"/>
      <c r="V118" s="42"/>
      <c r="W118" s="41"/>
      <c r="X118" s="42"/>
      <c r="Y118" s="43"/>
    </row>
    <row r="119" spans="1:25" x14ac:dyDescent="0.2">
      <c r="A119" s="118"/>
      <c r="B119" s="117" t="s">
        <v>113</v>
      </c>
      <c r="C119" s="117">
        <v>22</v>
      </c>
      <c r="D119" s="17">
        <v>439.536</v>
      </c>
      <c r="E119" s="18">
        <v>55.223526</v>
      </c>
      <c r="F119" s="18">
        <v>79.217400999999995</v>
      </c>
      <c r="G119" s="18">
        <v>80.841935000000007</v>
      </c>
      <c r="H119" s="18">
        <v>54.140092000000003</v>
      </c>
      <c r="I119" s="18"/>
      <c r="J119" s="16">
        <f t="shared" si="4"/>
        <v>1.5038914444444445E-2</v>
      </c>
      <c r="L119" s="17"/>
      <c r="M119" s="18"/>
      <c r="N119" s="18"/>
      <c r="O119" s="18"/>
      <c r="P119" s="18"/>
      <c r="Q119" s="18"/>
      <c r="R119" s="19">
        <f t="shared" si="5"/>
        <v>0</v>
      </c>
      <c r="S119" s="20"/>
      <c r="T119" s="21" t="e">
        <f>bdrate($D119:$D122,E119:E122,$L119:$L122,M119:M122)</f>
        <v>#VALUE!</v>
      </c>
      <c r="U119" s="22" t="e">
        <f>bdrate($D119:$D122,F119:F122,$L119:$L122,N119:N122)</f>
        <v>#VALUE!</v>
      </c>
      <c r="V119" s="22" t="e">
        <f>bdrate($D119:$D122,G119:G122,$L119:$L122,O119:O122)</f>
        <v>#VALUE!</v>
      </c>
      <c r="W119" s="44" t="e">
        <f>bdrateOld($D119:$D122,E119:E122,$L119:$L122,M119:M122)</f>
        <v>#VALUE!</v>
      </c>
      <c r="X119" s="45" t="e">
        <f>bdrateOld($D119:$D122,F119:F122,$L119:$L122,N119:N122)</f>
        <v>#VALUE!</v>
      </c>
      <c r="Y119" s="46" t="e">
        <f>bdrateOld($D119:$D122,G119:G122,$L119:$L122,O119:O122)</f>
        <v>#VALUE!</v>
      </c>
    </row>
    <row r="120" spans="1:25" x14ac:dyDescent="0.2">
      <c r="A120" s="118"/>
      <c r="B120" s="118"/>
      <c r="C120" s="118">
        <v>27</v>
      </c>
      <c r="D120" s="28">
        <v>140.82400000000001</v>
      </c>
      <c r="E120" s="29">
        <v>54.271346999999999</v>
      </c>
      <c r="F120" s="29">
        <v>57.233747000000001</v>
      </c>
      <c r="G120" s="29">
        <v>59.554454999999997</v>
      </c>
      <c r="H120" s="29">
        <v>52.411816000000002</v>
      </c>
      <c r="I120" s="29"/>
      <c r="J120" s="27">
        <f t="shared" si="4"/>
        <v>1.4558837777777778E-2</v>
      </c>
      <c r="L120" s="28"/>
      <c r="M120" s="29"/>
      <c r="N120" s="29"/>
      <c r="O120" s="29"/>
      <c r="P120" s="29"/>
      <c r="Q120" s="29"/>
      <c r="R120" s="30">
        <f t="shared" si="5"/>
        <v>0</v>
      </c>
      <c r="S120" s="20"/>
      <c r="T120" s="31"/>
      <c r="U120" s="32"/>
      <c r="V120" s="32"/>
      <c r="W120" s="31"/>
      <c r="X120" s="32"/>
      <c r="Y120" s="33"/>
    </row>
    <row r="121" spans="1:25" x14ac:dyDescent="0.2">
      <c r="A121" s="118"/>
      <c r="B121" s="118" t="s">
        <v>126</v>
      </c>
      <c r="C121" s="118">
        <v>32</v>
      </c>
      <c r="D121" s="28">
        <v>39.176000000000002</v>
      </c>
      <c r="E121" s="29">
        <v>53.014052999999997</v>
      </c>
      <c r="F121" s="29">
        <v>522.851764</v>
      </c>
      <c r="G121" s="29">
        <v>525.49913000000004</v>
      </c>
      <c r="H121" s="29">
        <v>51.264384</v>
      </c>
      <c r="I121" s="29"/>
      <c r="J121" s="27">
        <f t="shared" si="4"/>
        <v>1.4240106666666667E-2</v>
      </c>
      <c r="L121" s="28"/>
      <c r="M121" s="29"/>
      <c r="N121" s="29"/>
      <c r="O121" s="29"/>
      <c r="P121" s="29"/>
      <c r="Q121" s="29"/>
      <c r="R121" s="30">
        <f t="shared" si="5"/>
        <v>0</v>
      </c>
      <c r="S121" s="20"/>
      <c r="T121" s="31"/>
      <c r="U121" s="32"/>
      <c r="V121" s="32"/>
      <c r="W121" s="31"/>
      <c r="X121" s="32"/>
      <c r="Y121" s="33"/>
    </row>
    <row r="122" spans="1:25" ht="12.75" thickBot="1" x14ac:dyDescent="0.25">
      <c r="A122" s="118"/>
      <c r="B122" s="119"/>
      <c r="C122" s="119">
        <v>37</v>
      </c>
      <c r="D122" s="38">
        <v>16.96</v>
      </c>
      <c r="E122" s="39">
        <v>51.183523000000001</v>
      </c>
      <c r="F122" s="39">
        <v>522.55584399999998</v>
      </c>
      <c r="G122" s="39">
        <v>524.97743100000002</v>
      </c>
      <c r="H122" s="39">
        <v>50.277479999999997</v>
      </c>
      <c r="I122" s="39"/>
      <c r="J122" s="37">
        <f t="shared" si="4"/>
        <v>1.3965966666666666E-2</v>
      </c>
      <c r="L122" s="38"/>
      <c r="M122" s="39"/>
      <c r="N122" s="39"/>
      <c r="O122" s="39"/>
      <c r="P122" s="39"/>
      <c r="Q122" s="39"/>
      <c r="R122" s="40">
        <f t="shared" si="5"/>
        <v>0</v>
      </c>
      <c r="S122" s="20"/>
      <c r="T122" s="41"/>
      <c r="U122" s="42"/>
      <c r="V122" s="42"/>
      <c r="W122" s="41"/>
      <c r="X122" s="42"/>
      <c r="Y122" s="43"/>
    </row>
    <row r="123" spans="1:25" x14ac:dyDescent="0.2">
      <c r="A123" s="24"/>
      <c r="B123" s="13" t="s">
        <v>115</v>
      </c>
      <c r="C123" s="13">
        <v>22</v>
      </c>
      <c r="D123" s="14">
        <v>21.943999999999999</v>
      </c>
      <c r="E123" s="15">
        <v>56.138368999999997</v>
      </c>
      <c r="F123" s="15"/>
      <c r="G123" s="15"/>
      <c r="H123" s="15"/>
      <c r="I123" s="15"/>
      <c r="J123" s="16">
        <f t="shared" si="4"/>
        <v>0</v>
      </c>
      <c r="L123" s="14"/>
      <c r="M123" s="15"/>
      <c r="N123" s="15"/>
      <c r="O123" s="15"/>
      <c r="P123" s="15"/>
      <c r="Q123" s="15"/>
      <c r="R123" s="16">
        <f t="shared" si="5"/>
        <v>0</v>
      </c>
      <c r="S123" s="20"/>
      <c r="T123" s="21" t="e">
        <f>bdrate($D123:$D126,E123:E126,$L123:$L126,M123:M126)</f>
        <v>#VALUE!</v>
      </c>
      <c r="U123" s="22" t="e">
        <f>bdrate($D123:$D126,F123:F126,$L123:$L126,N123:N126)</f>
        <v>#VALUE!</v>
      </c>
      <c r="V123" s="22" t="e">
        <f>bdrate($D123:$D126,G123:G126,$L123:$L126,O123:O126)</f>
        <v>#VALUE!</v>
      </c>
      <c r="W123" s="44" t="e">
        <f>bdrateOld($D123:$D126,E123:E126,$L123:$L126,M123:M126)</f>
        <v>#VALUE!</v>
      </c>
      <c r="X123" s="45" t="e">
        <f>bdrateOld($D123:$D126,F123:F126,$L123:$L126,N123:N126)</f>
        <v>#VALUE!</v>
      </c>
      <c r="Y123" s="46" t="e">
        <f>bdrateOld($D123:$D126,G123:G126,$L123:$L126,O123:O126)</f>
        <v>#VALUE!</v>
      </c>
    </row>
    <row r="124" spans="1:25" x14ac:dyDescent="0.2">
      <c r="A124" s="24"/>
      <c r="B124" s="24" t="s">
        <v>114</v>
      </c>
      <c r="C124" s="24">
        <v>27</v>
      </c>
      <c r="D124" s="25">
        <v>10.448</v>
      </c>
      <c r="E124" s="26">
        <v>55.200055999999996</v>
      </c>
      <c r="F124" s="26"/>
      <c r="G124" s="26"/>
      <c r="H124" s="26"/>
      <c r="I124" s="26"/>
      <c r="J124" s="27">
        <f t="shared" si="4"/>
        <v>0</v>
      </c>
      <c r="L124" s="25"/>
      <c r="M124" s="26"/>
      <c r="N124" s="26"/>
      <c r="O124" s="26"/>
      <c r="P124" s="26"/>
      <c r="Q124" s="26"/>
      <c r="R124" s="27">
        <f t="shared" si="5"/>
        <v>0</v>
      </c>
      <c r="S124" s="20"/>
      <c r="T124" s="31"/>
      <c r="U124" s="32"/>
      <c r="V124" s="32"/>
      <c r="W124" s="31"/>
      <c r="X124" s="32"/>
      <c r="Y124" s="33"/>
    </row>
    <row r="125" spans="1:25" x14ac:dyDescent="0.2">
      <c r="A125" s="24"/>
      <c r="B125" s="24"/>
      <c r="C125" s="24">
        <v>32</v>
      </c>
      <c r="D125" s="25">
        <v>5.5759999999999996</v>
      </c>
      <c r="E125" s="26">
        <v>53.964604000000001</v>
      </c>
      <c r="F125" s="26"/>
      <c r="G125" s="26"/>
      <c r="H125" s="26"/>
      <c r="I125" s="26"/>
      <c r="J125" s="27">
        <f t="shared" si="4"/>
        <v>0</v>
      </c>
      <c r="L125" s="25"/>
      <c r="M125" s="26"/>
      <c r="N125" s="26"/>
      <c r="O125" s="26"/>
      <c r="P125" s="26"/>
      <c r="Q125" s="26"/>
      <c r="R125" s="27">
        <f t="shared" si="5"/>
        <v>0</v>
      </c>
      <c r="S125" s="20"/>
      <c r="T125" s="31"/>
      <c r="U125" s="32"/>
      <c r="V125" s="32"/>
      <c r="W125" s="31"/>
      <c r="X125" s="32"/>
      <c r="Y125" s="33"/>
    </row>
    <row r="126" spans="1:25" ht="12.75" thickBot="1" x14ac:dyDescent="0.25">
      <c r="A126" s="24"/>
      <c r="B126" s="34"/>
      <c r="C126" s="34">
        <v>37</v>
      </c>
      <c r="D126" s="35">
        <v>3.7679999999999998</v>
      </c>
      <c r="E126" s="36">
        <v>51.983960000000003</v>
      </c>
      <c r="F126" s="36"/>
      <c r="G126" s="36"/>
      <c r="H126" s="36"/>
      <c r="I126" s="36"/>
      <c r="J126" s="37">
        <f t="shared" si="4"/>
        <v>0</v>
      </c>
      <c r="L126" s="35"/>
      <c r="M126" s="36"/>
      <c r="N126" s="36"/>
      <c r="O126" s="36"/>
      <c r="P126" s="36"/>
      <c r="Q126" s="36"/>
      <c r="R126" s="37">
        <f t="shared" si="5"/>
        <v>0</v>
      </c>
      <c r="S126" s="20"/>
      <c r="T126" s="41"/>
      <c r="U126" s="42"/>
      <c r="V126" s="42"/>
      <c r="W126" s="41"/>
      <c r="X126" s="42"/>
      <c r="Y126" s="43"/>
    </row>
    <row r="127" spans="1:25" x14ac:dyDescent="0.2">
      <c r="A127" s="24"/>
      <c r="B127" s="13" t="s">
        <v>109</v>
      </c>
      <c r="C127" s="13">
        <v>22</v>
      </c>
      <c r="D127" s="14">
        <v>417.96800000000002</v>
      </c>
      <c r="E127" s="15">
        <v>54.301313</v>
      </c>
      <c r="F127" s="15">
        <v>49.382126999999997</v>
      </c>
      <c r="G127" s="15">
        <v>52.631194999999998</v>
      </c>
      <c r="H127" s="15">
        <v>51.611677999999998</v>
      </c>
      <c r="I127" s="15"/>
      <c r="J127" s="16">
        <f t="shared" si="4"/>
        <v>1.4336577222222221E-2</v>
      </c>
      <c r="L127" s="14"/>
      <c r="M127" s="15"/>
      <c r="N127" s="15"/>
      <c r="O127" s="15"/>
      <c r="P127" s="15"/>
      <c r="Q127" s="15"/>
      <c r="R127" s="16">
        <f t="shared" si="5"/>
        <v>0</v>
      </c>
      <c r="S127" s="20"/>
      <c r="T127" s="21" t="e">
        <f>bdrate($D127:$D130,E127:E130,$L127:$L130,M127:M130)</f>
        <v>#VALUE!</v>
      </c>
      <c r="U127" s="22" t="e">
        <f>bdrate($D127:$D130,F127:F130,$L127:$L130,N127:N130)</f>
        <v>#VALUE!</v>
      </c>
      <c r="V127" s="22" t="e">
        <f>bdrate($D127:$D130,G127:G130,$L127:$L130,O127:O130)</f>
        <v>#VALUE!</v>
      </c>
      <c r="W127" s="44" t="e">
        <f>bdrateOld($D127:$D130,E127:E130,$L127:$L130,M127:M130)</f>
        <v>#VALUE!</v>
      </c>
      <c r="X127" s="45" t="e">
        <f>bdrateOld($D127:$D130,F127:F130,$L127:$L130,N127:N130)</f>
        <v>#VALUE!</v>
      </c>
      <c r="Y127" s="46" t="e">
        <f>bdrateOld($D127:$D130,G127:G130,$L127:$L130,O127:O130)</f>
        <v>#VALUE!</v>
      </c>
    </row>
    <row r="128" spans="1:25" x14ac:dyDescent="0.2">
      <c r="A128" s="24"/>
      <c r="B128" s="24" t="s">
        <v>114</v>
      </c>
      <c r="C128" s="24">
        <v>27</v>
      </c>
      <c r="D128" s="25">
        <v>129.328</v>
      </c>
      <c r="E128" s="26">
        <v>53.470599</v>
      </c>
      <c r="F128" s="26">
        <v>47.05594</v>
      </c>
      <c r="G128" s="26">
        <v>51.697355999999999</v>
      </c>
      <c r="H128" s="26">
        <v>49.863287999999997</v>
      </c>
      <c r="I128" s="26"/>
      <c r="J128" s="27">
        <f t="shared" si="4"/>
        <v>1.3850913333333333E-2</v>
      </c>
      <c r="L128" s="25"/>
      <c r="M128" s="26"/>
      <c r="N128" s="26"/>
      <c r="O128" s="26"/>
      <c r="P128" s="26"/>
      <c r="Q128" s="26"/>
      <c r="R128" s="27">
        <f t="shared" si="5"/>
        <v>0</v>
      </c>
      <c r="S128" s="20"/>
      <c r="T128" s="31"/>
      <c r="U128" s="32"/>
      <c r="V128" s="32"/>
      <c r="W128" s="31"/>
      <c r="X128" s="32"/>
      <c r="Y128" s="33"/>
    </row>
    <row r="129" spans="1:25" x14ac:dyDescent="0.2">
      <c r="A129" s="24"/>
      <c r="B129" s="24"/>
      <c r="C129" s="24">
        <v>32</v>
      </c>
      <c r="D129" s="25">
        <v>33.927999999999997</v>
      </c>
      <c r="E129" s="26">
        <v>52.419778999999998</v>
      </c>
      <c r="F129" s="26">
        <v>45.713526999999999</v>
      </c>
      <c r="G129" s="26">
        <v>51.008260999999997</v>
      </c>
      <c r="H129" s="26">
        <v>48.697940000000003</v>
      </c>
      <c r="I129" s="26"/>
      <c r="J129" s="27">
        <f t="shared" si="4"/>
        <v>1.3527205555555557E-2</v>
      </c>
      <c r="L129" s="25"/>
      <c r="M129" s="26"/>
      <c r="N129" s="26"/>
      <c r="O129" s="26"/>
      <c r="P129" s="26"/>
      <c r="Q129" s="26"/>
      <c r="R129" s="27">
        <f t="shared" si="5"/>
        <v>0</v>
      </c>
      <c r="S129" s="20"/>
      <c r="T129" s="31"/>
      <c r="U129" s="32"/>
      <c r="V129" s="32"/>
      <c r="W129" s="31"/>
      <c r="X129" s="32"/>
      <c r="Y129" s="33"/>
    </row>
    <row r="130" spans="1:25" ht="12.75" thickBot="1" x14ac:dyDescent="0.25">
      <c r="A130" s="24"/>
      <c r="B130" s="34"/>
      <c r="C130" s="34">
        <v>37</v>
      </c>
      <c r="D130" s="35">
        <v>13.496</v>
      </c>
      <c r="E130" s="36">
        <v>50.434767000000001</v>
      </c>
      <c r="F130" s="36">
        <v>45.121687000000001</v>
      </c>
      <c r="G130" s="36">
        <v>49.964861999999997</v>
      </c>
      <c r="H130" s="36">
        <v>47.792152999999999</v>
      </c>
      <c r="I130" s="36"/>
      <c r="J130" s="37">
        <f t="shared" si="4"/>
        <v>1.3275598055555555E-2</v>
      </c>
      <c r="L130" s="35"/>
      <c r="M130" s="36"/>
      <c r="N130" s="36"/>
      <c r="O130" s="36"/>
      <c r="P130" s="36"/>
      <c r="Q130" s="36"/>
      <c r="R130" s="37">
        <f t="shared" si="5"/>
        <v>0</v>
      </c>
      <c r="S130" s="20"/>
      <c r="T130" s="41"/>
      <c r="U130" s="42"/>
      <c r="V130" s="42"/>
      <c r="W130" s="41"/>
      <c r="X130" s="42"/>
      <c r="Y130" s="43"/>
    </row>
    <row r="131" spans="1:25" x14ac:dyDescent="0.2">
      <c r="A131" s="24"/>
      <c r="B131" s="13" t="s">
        <v>112</v>
      </c>
      <c r="C131" s="13">
        <v>22</v>
      </c>
      <c r="D131" s="14">
        <v>155.536</v>
      </c>
      <c r="E131" s="15">
        <v>54.83652</v>
      </c>
      <c r="F131" s="15">
        <v>78.052062000000006</v>
      </c>
      <c r="G131" s="15">
        <v>80.387326000000002</v>
      </c>
      <c r="H131" s="15">
        <v>52.552695999999997</v>
      </c>
      <c r="I131" s="15"/>
      <c r="J131" s="16">
        <f t="shared" si="4"/>
        <v>1.4597971111111111E-2</v>
      </c>
      <c r="L131" s="14"/>
      <c r="M131" s="15"/>
      <c r="N131" s="15"/>
      <c r="O131" s="15"/>
      <c r="P131" s="15"/>
      <c r="Q131" s="15"/>
      <c r="R131" s="16">
        <f t="shared" si="5"/>
        <v>0</v>
      </c>
      <c r="S131" s="20"/>
      <c r="T131" s="21" t="e">
        <f>bdrate($D131:$D134,E131:E134,$L131:$L134,M131:M134)</f>
        <v>#VALUE!</v>
      </c>
      <c r="U131" s="22" t="e">
        <f>bdrate($D131:$D134,F131:F134,$L131:$L134,N131:N134)</f>
        <v>#VALUE!</v>
      </c>
      <c r="V131" s="22" t="e">
        <f>bdrate($D131:$D134,G131:G134,$L131:$L134,O131:O134)</f>
        <v>#VALUE!</v>
      </c>
      <c r="W131" s="44" t="e">
        <f>bdrateOld($D131:$D134,E131:E134,$L131:$L134,M131:M134)</f>
        <v>#VALUE!</v>
      </c>
      <c r="X131" s="45" t="e">
        <f>bdrateOld($D131:$D134,F131:F134,$L131:$L134,N131:N134)</f>
        <v>#VALUE!</v>
      </c>
      <c r="Y131" s="46" t="e">
        <f>bdrateOld($D131:$D134,G131:G134,$L131:$L134,O131:O134)</f>
        <v>#VALUE!</v>
      </c>
    </row>
    <row r="132" spans="1:25" x14ac:dyDescent="0.2">
      <c r="A132" s="24"/>
      <c r="B132" s="24"/>
      <c r="C132" s="24">
        <v>27</v>
      </c>
      <c r="D132" s="25">
        <v>37.44</v>
      </c>
      <c r="E132" s="26">
        <v>53.686340999999999</v>
      </c>
      <c r="F132" s="26">
        <v>522.76613399999997</v>
      </c>
      <c r="G132" s="26">
        <v>525.365993</v>
      </c>
      <c r="H132" s="26">
        <v>51.192898999999997</v>
      </c>
      <c r="I132" s="26"/>
      <c r="J132" s="27">
        <f t="shared" si="4"/>
        <v>1.4220249722222222E-2</v>
      </c>
      <c r="L132" s="25"/>
      <c r="M132" s="26"/>
      <c r="N132" s="26"/>
      <c r="O132" s="26"/>
      <c r="P132" s="26"/>
      <c r="Q132" s="26"/>
      <c r="R132" s="27">
        <f t="shared" si="5"/>
        <v>0</v>
      </c>
      <c r="S132" s="20"/>
      <c r="T132" s="31"/>
      <c r="U132" s="32"/>
      <c r="V132" s="32"/>
      <c r="W132" s="31"/>
      <c r="X132" s="32"/>
      <c r="Y132" s="33"/>
    </row>
    <row r="133" spans="1:25" x14ac:dyDescent="0.2">
      <c r="A133" s="24"/>
      <c r="B133" s="24" t="s">
        <v>116</v>
      </c>
      <c r="C133" s="24">
        <v>32</v>
      </c>
      <c r="D133" s="25">
        <v>16.472000000000001</v>
      </c>
      <c r="E133" s="26">
        <v>51.894156000000002</v>
      </c>
      <c r="F133" s="26">
        <v>67.712109999999996</v>
      </c>
      <c r="G133" s="26">
        <v>70.015242999999998</v>
      </c>
      <c r="H133" s="26">
        <v>49.705075000000001</v>
      </c>
      <c r="I133" s="26"/>
      <c r="J133" s="27">
        <f t="shared" si="4"/>
        <v>1.3806965277777777E-2</v>
      </c>
      <c r="L133" s="25"/>
      <c r="M133" s="26"/>
      <c r="N133" s="26"/>
      <c r="O133" s="26"/>
      <c r="P133" s="26"/>
      <c r="Q133" s="26"/>
      <c r="R133" s="27">
        <f t="shared" si="5"/>
        <v>0</v>
      </c>
      <c r="S133" s="20"/>
      <c r="T133" s="31"/>
      <c r="U133" s="32"/>
      <c r="V133" s="32"/>
      <c r="W133" s="31"/>
      <c r="X133" s="32"/>
      <c r="Y133" s="33"/>
    </row>
    <row r="134" spans="1:25" ht="12.75" thickBot="1" x14ac:dyDescent="0.25">
      <c r="A134" s="24"/>
      <c r="B134" s="34"/>
      <c r="C134" s="34">
        <v>37</v>
      </c>
      <c r="D134" s="35">
        <v>7.1520000000000001</v>
      </c>
      <c r="E134" s="36">
        <v>49.960514000000003</v>
      </c>
      <c r="F134" s="36">
        <v>521.15859499999999</v>
      </c>
      <c r="G134" s="36">
        <v>523.15467100000001</v>
      </c>
      <c r="H134" s="36">
        <v>47.603872000000003</v>
      </c>
      <c r="I134" s="36"/>
      <c r="J134" s="37">
        <f t="shared" si="4"/>
        <v>1.3223297777777778E-2</v>
      </c>
      <c r="L134" s="35"/>
      <c r="M134" s="36"/>
      <c r="N134" s="36"/>
      <c r="O134" s="36"/>
      <c r="P134" s="36"/>
      <c r="Q134" s="36"/>
      <c r="R134" s="37">
        <f t="shared" si="5"/>
        <v>0</v>
      </c>
      <c r="S134" s="20"/>
      <c r="T134" s="41"/>
      <c r="U134" s="42"/>
      <c r="V134" s="42"/>
      <c r="W134" s="41"/>
      <c r="X134" s="42"/>
      <c r="Y134" s="43"/>
    </row>
    <row r="135" spans="1:25" x14ac:dyDescent="0.2">
      <c r="A135" s="24"/>
      <c r="B135" s="13" t="s">
        <v>113</v>
      </c>
      <c r="C135" s="13">
        <v>22</v>
      </c>
      <c r="D135" s="14">
        <v>471.21600000000001</v>
      </c>
      <c r="E135" s="15">
        <v>54.686629000000003</v>
      </c>
      <c r="F135" s="15">
        <v>64.651427999999996</v>
      </c>
      <c r="G135" s="15">
        <v>67.121505999999997</v>
      </c>
      <c r="H135" s="15">
        <v>54.140062</v>
      </c>
      <c r="I135" s="15"/>
      <c r="J135" s="16">
        <f t="shared" si="4"/>
        <v>1.5038906111111111E-2</v>
      </c>
      <c r="L135" s="14"/>
      <c r="M135" s="15"/>
      <c r="N135" s="15"/>
      <c r="O135" s="15"/>
      <c r="P135" s="15"/>
      <c r="Q135" s="15"/>
      <c r="R135" s="16">
        <f t="shared" si="5"/>
        <v>0</v>
      </c>
      <c r="S135" s="20"/>
      <c r="T135" s="21" t="e">
        <f>bdrate($D135:$D138,E135:E138,$L135:$L138,M135:M138)</f>
        <v>#VALUE!</v>
      </c>
      <c r="U135" s="22" t="e">
        <f>bdrate($D135:$D138,F135:F138,$L135:$L138,N135:N138)</f>
        <v>#VALUE!</v>
      </c>
      <c r="V135" s="22" t="e">
        <f>bdrate($D135:$D138,G135:G138,$L135:$L138,O135:O138)</f>
        <v>#VALUE!</v>
      </c>
      <c r="W135" s="44" t="e">
        <f>bdrateOld($D135:$D138,E135:E138,$L135:$L138,M135:M138)</f>
        <v>#VALUE!</v>
      </c>
      <c r="X135" s="45" t="e">
        <f>bdrateOld($D135:$D138,F135:F138,$L135:$L138,N135:N138)</f>
        <v>#VALUE!</v>
      </c>
      <c r="Y135" s="46" t="e">
        <f>bdrateOld($D135:$D138,G135:G138,$L135:$L138,O135:O138)</f>
        <v>#VALUE!</v>
      </c>
    </row>
    <row r="136" spans="1:25" x14ac:dyDescent="0.2">
      <c r="A136" s="24"/>
      <c r="B136" s="24"/>
      <c r="C136" s="24">
        <v>27</v>
      </c>
      <c r="D136" s="25">
        <v>153.91200000000001</v>
      </c>
      <c r="E136" s="26">
        <v>53.542209999999997</v>
      </c>
      <c r="F136" s="26">
        <v>56.303939999999997</v>
      </c>
      <c r="G136" s="26">
        <v>56.841478000000002</v>
      </c>
      <c r="H136" s="26">
        <v>52.295636000000002</v>
      </c>
      <c r="I136" s="26"/>
      <c r="J136" s="27">
        <f t="shared" si="4"/>
        <v>1.4526565555555556E-2</v>
      </c>
      <c r="L136" s="25"/>
      <c r="M136" s="26"/>
      <c r="N136" s="26"/>
      <c r="O136" s="26"/>
      <c r="P136" s="26"/>
      <c r="Q136" s="26"/>
      <c r="R136" s="27">
        <f t="shared" si="5"/>
        <v>0</v>
      </c>
      <c r="S136" s="20"/>
      <c r="T136" s="31"/>
      <c r="U136" s="32"/>
      <c r="V136" s="32"/>
      <c r="W136" s="31"/>
      <c r="X136" s="32"/>
      <c r="Y136" s="33"/>
    </row>
    <row r="137" spans="1:25" x14ac:dyDescent="0.2">
      <c r="A137" s="24"/>
      <c r="B137" s="24" t="s">
        <v>116</v>
      </c>
      <c r="C137" s="24">
        <v>32</v>
      </c>
      <c r="D137" s="25">
        <v>45.616</v>
      </c>
      <c r="E137" s="26">
        <v>51.787992000000003</v>
      </c>
      <c r="F137" s="26">
        <v>48.182203000000001</v>
      </c>
      <c r="G137" s="26">
        <v>51.951489000000002</v>
      </c>
      <c r="H137" s="26">
        <v>49.887309999999999</v>
      </c>
      <c r="I137" s="26"/>
      <c r="J137" s="27">
        <f t="shared" si="4"/>
        <v>1.3857586111111111E-2</v>
      </c>
      <c r="L137" s="25"/>
      <c r="M137" s="26"/>
      <c r="N137" s="26"/>
      <c r="O137" s="26"/>
      <c r="P137" s="26"/>
      <c r="Q137" s="26"/>
      <c r="R137" s="27">
        <f t="shared" si="5"/>
        <v>0</v>
      </c>
      <c r="S137" s="20"/>
      <c r="T137" s="31"/>
      <c r="U137" s="32"/>
      <c r="V137" s="32"/>
      <c r="W137" s="31"/>
      <c r="X137" s="32"/>
      <c r="Y137" s="33"/>
    </row>
    <row r="138" spans="1:25" ht="12.75" thickBot="1" x14ac:dyDescent="0.25">
      <c r="A138" s="24"/>
      <c r="B138" s="34"/>
      <c r="C138" s="34">
        <v>37</v>
      </c>
      <c r="D138" s="35">
        <v>18.263999999999999</v>
      </c>
      <c r="E138" s="36">
        <v>50.049855000000001</v>
      </c>
      <c r="F138" s="36">
        <v>45.163775999999999</v>
      </c>
      <c r="G138" s="36">
        <v>48.800683999999997</v>
      </c>
      <c r="H138" s="36">
        <v>47.436283000000003</v>
      </c>
      <c r="I138" s="36"/>
      <c r="J138" s="37">
        <f t="shared" si="4"/>
        <v>1.3176745277777778E-2</v>
      </c>
      <c r="L138" s="35"/>
      <c r="M138" s="36"/>
      <c r="N138" s="36"/>
      <c r="O138" s="36"/>
      <c r="P138" s="36"/>
      <c r="Q138" s="36"/>
      <c r="R138" s="37">
        <f t="shared" si="5"/>
        <v>0</v>
      </c>
      <c r="S138" s="20"/>
      <c r="T138" s="41"/>
      <c r="U138" s="42"/>
      <c r="V138" s="42"/>
      <c r="W138" s="41"/>
      <c r="X138" s="42"/>
      <c r="Y138" s="43"/>
    </row>
    <row r="139" spans="1:25" x14ac:dyDescent="0.2">
      <c r="A139" s="24"/>
      <c r="B139" s="13" t="s">
        <v>127</v>
      </c>
      <c r="C139" s="13">
        <v>22</v>
      </c>
      <c r="D139" s="14">
        <v>403.75200000000001</v>
      </c>
      <c r="E139" s="15">
        <v>47.311736000000003</v>
      </c>
      <c r="F139" s="15"/>
      <c r="G139" s="15"/>
      <c r="H139" s="15"/>
      <c r="I139" s="15"/>
      <c r="J139" s="16">
        <f t="shared" si="4"/>
        <v>0</v>
      </c>
      <c r="L139" s="14"/>
      <c r="M139" s="15"/>
      <c r="N139" s="15"/>
      <c r="O139" s="15"/>
      <c r="P139" s="15"/>
      <c r="Q139" s="15"/>
      <c r="R139" s="16">
        <f t="shared" si="5"/>
        <v>0</v>
      </c>
      <c r="S139" s="20"/>
      <c r="T139" s="21" t="e">
        <f>bdrate($D139:$D142,E139:E142,$L139:$L142,M139:M142)</f>
        <v>#VALUE!</v>
      </c>
      <c r="U139" s="22" t="e">
        <f>bdrate($D139:$D142,F139:F142,$L139:$L142,N139:N142)</f>
        <v>#VALUE!</v>
      </c>
      <c r="V139" s="22" t="e">
        <f>bdrate($D139:$D142,G139:G142,$L139:$L142,O139:O142)</f>
        <v>#VALUE!</v>
      </c>
      <c r="W139" s="44" t="e">
        <f>bdrateOld($D139:$D142,E139:E142,$L139:$L142,M139:M142)</f>
        <v>#VALUE!</v>
      </c>
      <c r="X139" s="45" t="e">
        <f>bdrateOld($D139:$D142,F139:F142,$L139:$L142,N139:N142)</f>
        <v>#VALUE!</v>
      </c>
      <c r="Y139" s="46" t="e">
        <f>bdrateOld($D139:$D142,G139:G142,$L139:$L142,O139:O142)</f>
        <v>#VALUE!</v>
      </c>
    </row>
    <row r="140" spans="1:25" x14ac:dyDescent="0.2">
      <c r="A140" s="24"/>
      <c r="B140" s="152">
        <v>400</v>
      </c>
      <c r="C140" s="24">
        <v>27</v>
      </c>
      <c r="D140" s="25">
        <v>76.872</v>
      </c>
      <c r="E140" s="26">
        <v>46.488461999999998</v>
      </c>
      <c r="F140" s="26"/>
      <c r="G140" s="26"/>
      <c r="H140" s="26"/>
      <c r="I140" s="26"/>
      <c r="J140" s="27">
        <f t="shared" si="4"/>
        <v>0</v>
      </c>
      <c r="L140" s="25"/>
      <c r="M140" s="26"/>
      <c r="N140" s="26"/>
      <c r="O140" s="26"/>
      <c r="P140" s="26"/>
      <c r="Q140" s="26"/>
      <c r="R140" s="27">
        <f t="shared" si="5"/>
        <v>0</v>
      </c>
      <c r="S140" s="20"/>
      <c r="T140" s="31"/>
      <c r="U140" s="32"/>
      <c r="V140" s="32"/>
      <c r="W140" s="31"/>
      <c r="X140" s="32"/>
      <c r="Y140" s="33"/>
    </row>
    <row r="141" spans="1:25" x14ac:dyDescent="0.2">
      <c r="A141" s="24"/>
      <c r="B141" s="24" t="s">
        <v>128</v>
      </c>
      <c r="C141" s="24">
        <v>32</v>
      </c>
      <c r="D141" s="25">
        <v>29.288</v>
      </c>
      <c r="E141" s="26">
        <v>45.598305000000003</v>
      </c>
      <c r="F141" s="26"/>
      <c r="G141" s="26"/>
      <c r="H141" s="26"/>
      <c r="I141" s="26"/>
      <c r="J141" s="27">
        <f t="shared" si="4"/>
        <v>0</v>
      </c>
      <c r="L141" s="25"/>
      <c r="M141" s="26"/>
      <c r="N141" s="26"/>
      <c r="O141" s="26"/>
      <c r="P141" s="26"/>
      <c r="Q141" s="26"/>
      <c r="R141" s="27">
        <f t="shared" si="5"/>
        <v>0</v>
      </c>
      <c r="S141" s="20"/>
      <c r="T141" s="31"/>
      <c r="U141" s="32"/>
      <c r="V141" s="32"/>
      <c r="W141" s="31"/>
      <c r="X141" s="32"/>
      <c r="Y141" s="33"/>
    </row>
    <row r="142" spans="1:25" ht="12.75" thickBot="1" x14ac:dyDescent="0.25">
      <c r="A142" s="24"/>
      <c r="B142" s="34"/>
      <c r="C142" s="34">
        <v>37</v>
      </c>
      <c r="D142" s="35">
        <v>13.311999999999999</v>
      </c>
      <c r="E142" s="36">
        <v>44.675775999999999</v>
      </c>
      <c r="F142" s="36"/>
      <c r="G142" s="36"/>
      <c r="H142" s="36"/>
      <c r="I142" s="36"/>
      <c r="J142" s="37">
        <f t="shared" si="4"/>
        <v>0</v>
      </c>
      <c r="L142" s="35"/>
      <c r="M142" s="36"/>
      <c r="N142" s="36"/>
      <c r="O142" s="36"/>
      <c r="P142" s="36"/>
      <c r="Q142" s="36"/>
      <c r="R142" s="37">
        <f t="shared" si="5"/>
        <v>0</v>
      </c>
      <c r="S142" s="20"/>
      <c r="T142" s="41"/>
      <c r="U142" s="42"/>
      <c r="V142" s="42"/>
      <c r="W142" s="41"/>
      <c r="X142" s="42"/>
      <c r="Y142" s="43"/>
    </row>
    <row r="143" spans="1:25" x14ac:dyDescent="0.2">
      <c r="A143" s="24"/>
      <c r="B143" s="13"/>
      <c r="C143" s="13">
        <v>22</v>
      </c>
      <c r="D143" s="14"/>
      <c r="E143" s="15"/>
      <c r="F143" s="15"/>
      <c r="G143" s="15"/>
      <c r="H143" s="15"/>
      <c r="I143" s="15"/>
      <c r="J143" s="16">
        <f t="shared" si="4"/>
        <v>0</v>
      </c>
      <c r="L143" s="14"/>
      <c r="M143" s="15"/>
      <c r="N143" s="15"/>
      <c r="O143" s="15"/>
      <c r="P143" s="15"/>
      <c r="Q143" s="15"/>
      <c r="R143" s="16">
        <f t="shared" si="5"/>
        <v>0</v>
      </c>
      <c r="S143" s="20"/>
      <c r="T143" s="21" t="e">
        <f>bdrate($D143:$D146,E143:E146,$L143:$L146,M143:M146)</f>
        <v>#VALUE!</v>
      </c>
      <c r="U143" s="22" t="e">
        <f>bdrate($D143:$D146,F143:F146,$L143:$L146,N143:N146)</f>
        <v>#VALUE!</v>
      </c>
      <c r="V143" s="22" t="e">
        <f>bdrate($D143:$D146,G143:G146,$L143:$L146,O143:O146)</f>
        <v>#VALUE!</v>
      </c>
      <c r="W143" s="44" t="e">
        <f>bdrateOld($D143:$D146,E143:E146,$L143:$L146,M143:M146)</f>
        <v>#VALUE!</v>
      </c>
      <c r="X143" s="45" t="e">
        <f>bdrateOld($D143:$D146,F143:F146,$L143:$L146,N143:N146)</f>
        <v>#VALUE!</v>
      </c>
      <c r="Y143" s="46" t="e">
        <f>bdrateOld($D143:$D146,G143:G146,$L143:$L146,O143:O146)</f>
        <v>#VALUE!</v>
      </c>
    </row>
    <row r="144" spans="1:25" x14ac:dyDescent="0.2">
      <c r="A144" s="24"/>
      <c r="B144" s="24"/>
      <c r="C144" s="24">
        <v>27</v>
      </c>
      <c r="D144" s="25"/>
      <c r="E144" s="26"/>
      <c r="F144" s="26"/>
      <c r="G144" s="26"/>
      <c r="H144" s="26"/>
      <c r="I144" s="26"/>
      <c r="J144" s="27">
        <f t="shared" si="4"/>
        <v>0</v>
      </c>
      <c r="L144" s="25"/>
      <c r="M144" s="26"/>
      <c r="N144" s="26"/>
      <c r="O144" s="26"/>
      <c r="P144" s="26"/>
      <c r="Q144" s="26"/>
      <c r="R144" s="27">
        <f t="shared" si="5"/>
        <v>0</v>
      </c>
      <c r="S144" s="20"/>
      <c r="T144" s="31"/>
      <c r="U144" s="32"/>
      <c r="V144" s="32"/>
      <c r="W144" s="31"/>
      <c r="X144" s="32"/>
      <c r="Y144" s="33"/>
    </row>
    <row r="145" spans="1:25" x14ac:dyDescent="0.2">
      <c r="A145" s="24"/>
      <c r="B145" s="24"/>
      <c r="C145" s="24">
        <v>32</v>
      </c>
      <c r="D145" s="25"/>
      <c r="E145" s="26"/>
      <c r="F145" s="26"/>
      <c r="G145" s="26"/>
      <c r="H145" s="26"/>
      <c r="I145" s="26"/>
      <c r="J145" s="27">
        <f t="shared" si="4"/>
        <v>0</v>
      </c>
      <c r="L145" s="25"/>
      <c r="M145" s="26"/>
      <c r="N145" s="26"/>
      <c r="O145" s="26"/>
      <c r="P145" s="26"/>
      <c r="Q145" s="26"/>
      <c r="R145" s="27">
        <f t="shared" si="5"/>
        <v>0</v>
      </c>
      <c r="S145" s="20"/>
      <c r="T145" s="31"/>
      <c r="U145" s="32"/>
      <c r="V145" s="32"/>
      <c r="W145" s="31"/>
      <c r="X145" s="32"/>
      <c r="Y145" s="33"/>
    </row>
    <row r="146" spans="1:25" ht="12.75" thickBot="1" x14ac:dyDescent="0.25">
      <c r="A146" s="24"/>
      <c r="B146" s="34"/>
      <c r="C146" s="34">
        <v>37</v>
      </c>
      <c r="D146" s="35"/>
      <c r="E146" s="36"/>
      <c r="F146" s="36"/>
      <c r="G146" s="36"/>
      <c r="H146" s="36"/>
      <c r="I146" s="36"/>
      <c r="J146" s="37">
        <f t="shared" si="4"/>
        <v>0</v>
      </c>
      <c r="L146" s="35"/>
      <c r="M146" s="36"/>
      <c r="N146" s="36"/>
      <c r="O146" s="36"/>
      <c r="P146" s="36"/>
      <c r="Q146" s="36"/>
      <c r="R146" s="37">
        <f t="shared" si="5"/>
        <v>0</v>
      </c>
      <c r="S146" s="20"/>
      <c r="T146" s="41"/>
      <c r="U146" s="42"/>
      <c r="V146" s="42"/>
      <c r="W146" s="41"/>
      <c r="X146" s="42"/>
      <c r="Y146" s="43"/>
    </row>
    <row r="147" spans="1:25" x14ac:dyDescent="0.2">
      <c r="A147" s="24"/>
      <c r="B147" s="13"/>
      <c r="C147" s="13">
        <v>22</v>
      </c>
      <c r="D147" s="14"/>
      <c r="E147" s="15"/>
      <c r="F147" s="15"/>
      <c r="G147" s="15"/>
      <c r="H147" s="15"/>
      <c r="I147" s="15"/>
      <c r="J147" s="16">
        <f t="shared" si="4"/>
        <v>0</v>
      </c>
      <c r="L147" s="14"/>
      <c r="M147" s="15"/>
      <c r="N147" s="15"/>
      <c r="O147" s="15"/>
      <c r="P147" s="15"/>
      <c r="Q147" s="15"/>
      <c r="R147" s="16">
        <f t="shared" si="5"/>
        <v>0</v>
      </c>
      <c r="S147" s="20"/>
      <c r="T147" s="21" t="e">
        <f>bdrate($D147:$D150,E147:E150,$L147:$L150,M147:M150)</f>
        <v>#VALUE!</v>
      </c>
      <c r="U147" s="22" t="e">
        <f>bdrate($D147:$D150,F147:F150,$L147:$L150,N147:N150)</f>
        <v>#VALUE!</v>
      </c>
      <c r="V147" s="22" t="e">
        <f>bdrate($D147:$D150,G147:G150,$L147:$L150,O147:O150)</f>
        <v>#VALUE!</v>
      </c>
      <c r="W147" s="44" t="e">
        <f>bdrateOld($D147:$D150,E147:E150,$L147:$L150,M147:M150)</f>
        <v>#VALUE!</v>
      </c>
      <c r="X147" s="45" t="e">
        <f>bdrateOld($D147:$D150,F147:F150,$L147:$L150,N147:N150)</f>
        <v>#VALUE!</v>
      </c>
      <c r="Y147" s="46" t="e">
        <f>bdrateOld($D147:$D150,G147:G150,$L147:$L150,O147:O150)</f>
        <v>#VALUE!</v>
      </c>
    </row>
    <row r="148" spans="1:25" x14ac:dyDescent="0.2">
      <c r="A148" s="24"/>
      <c r="B148" s="24"/>
      <c r="C148" s="24">
        <v>27</v>
      </c>
      <c r="D148" s="25"/>
      <c r="E148" s="26"/>
      <c r="F148" s="26"/>
      <c r="G148" s="26"/>
      <c r="H148" s="26"/>
      <c r="I148" s="26"/>
      <c r="J148" s="27">
        <f t="shared" si="4"/>
        <v>0</v>
      </c>
      <c r="L148" s="25"/>
      <c r="M148" s="26"/>
      <c r="N148" s="26"/>
      <c r="O148" s="26"/>
      <c r="P148" s="26"/>
      <c r="Q148" s="26"/>
      <c r="R148" s="27">
        <f t="shared" si="5"/>
        <v>0</v>
      </c>
      <c r="S148" s="20"/>
      <c r="T148" s="31"/>
      <c r="U148" s="32"/>
      <c r="V148" s="32"/>
      <c r="W148" s="31"/>
      <c r="X148" s="32"/>
      <c r="Y148" s="33"/>
    </row>
    <row r="149" spans="1:25" x14ac:dyDescent="0.2">
      <c r="A149" s="24"/>
      <c r="B149" s="24"/>
      <c r="C149" s="24">
        <v>32</v>
      </c>
      <c r="D149" s="25"/>
      <c r="E149" s="26"/>
      <c r="F149" s="26"/>
      <c r="G149" s="26"/>
      <c r="H149" s="26"/>
      <c r="I149" s="26"/>
      <c r="J149" s="27">
        <f t="shared" si="4"/>
        <v>0</v>
      </c>
      <c r="L149" s="25"/>
      <c r="M149" s="26"/>
      <c r="N149" s="26"/>
      <c r="O149" s="26"/>
      <c r="P149" s="26"/>
      <c r="Q149" s="26"/>
      <c r="R149" s="27">
        <f t="shared" si="5"/>
        <v>0</v>
      </c>
      <c r="S149" s="20"/>
      <c r="T149" s="31"/>
      <c r="U149" s="32"/>
      <c r="V149" s="32"/>
      <c r="W149" s="31"/>
      <c r="X149" s="32"/>
      <c r="Y149" s="33"/>
    </row>
    <row r="150" spans="1:25" ht="12.75" thickBot="1" x14ac:dyDescent="0.25">
      <c r="A150" s="24"/>
      <c r="B150" s="34"/>
      <c r="C150" s="34">
        <v>37</v>
      </c>
      <c r="D150" s="35"/>
      <c r="E150" s="36"/>
      <c r="F150" s="36"/>
      <c r="G150" s="36"/>
      <c r="H150" s="36"/>
      <c r="I150" s="36"/>
      <c r="J150" s="37">
        <f t="shared" si="4"/>
        <v>0</v>
      </c>
      <c r="L150" s="35"/>
      <c r="M150" s="36"/>
      <c r="N150" s="36"/>
      <c r="O150" s="36"/>
      <c r="P150" s="36"/>
      <c r="Q150" s="36"/>
      <c r="R150" s="37">
        <f t="shared" si="5"/>
        <v>0</v>
      </c>
      <c r="S150" s="20"/>
      <c r="T150" s="41"/>
      <c r="U150" s="42"/>
      <c r="V150" s="42"/>
      <c r="W150" s="41"/>
      <c r="X150" s="42"/>
      <c r="Y150" s="43"/>
    </row>
    <row r="151" spans="1:25" x14ac:dyDescent="0.2">
      <c r="A151" s="24"/>
      <c r="B151" s="13"/>
      <c r="C151" s="13">
        <v>22</v>
      </c>
      <c r="D151" s="14"/>
      <c r="E151" s="15"/>
      <c r="F151" s="15"/>
      <c r="G151" s="15"/>
      <c r="H151" s="15"/>
      <c r="I151" s="15"/>
      <c r="J151" s="16">
        <f t="shared" si="4"/>
        <v>0</v>
      </c>
      <c r="L151" s="14"/>
      <c r="M151" s="15"/>
      <c r="N151" s="15"/>
      <c r="O151" s="15"/>
      <c r="P151" s="15"/>
      <c r="Q151" s="15"/>
      <c r="R151" s="16">
        <f t="shared" si="5"/>
        <v>0</v>
      </c>
      <c r="S151" s="20"/>
      <c r="T151" s="21" t="e">
        <f>bdrate($D151:$D154,E151:E154,$L151:$L154,M151:M154)</f>
        <v>#VALUE!</v>
      </c>
      <c r="U151" s="22" t="e">
        <f>bdrate($D151:$D154,F151:F154,$L151:$L154,N151:N154)</f>
        <v>#VALUE!</v>
      </c>
      <c r="V151" s="22" t="e">
        <f>bdrate($D151:$D154,G151:G154,$L151:$L154,O151:O154)</f>
        <v>#VALUE!</v>
      </c>
      <c r="W151" s="44" t="e">
        <f>bdrateOld($D151:$D154,E151:E154,$L151:$L154,M151:M154)</f>
        <v>#VALUE!</v>
      </c>
      <c r="X151" s="45" t="e">
        <f>bdrateOld($D151:$D154,F151:F154,$L151:$L154,N151:N154)</f>
        <v>#VALUE!</v>
      </c>
      <c r="Y151" s="46" t="e">
        <f>bdrateOld($D151:$D154,G151:G154,$L151:$L154,O151:O154)</f>
        <v>#VALUE!</v>
      </c>
    </row>
    <row r="152" spans="1:25" x14ac:dyDescent="0.2">
      <c r="A152" s="24"/>
      <c r="B152" s="24"/>
      <c r="C152" s="24">
        <v>27</v>
      </c>
      <c r="D152" s="25"/>
      <c r="E152" s="26"/>
      <c r="F152" s="26"/>
      <c r="G152" s="26"/>
      <c r="H152" s="26"/>
      <c r="I152" s="26"/>
      <c r="J152" s="27">
        <f t="shared" si="4"/>
        <v>0</v>
      </c>
      <c r="L152" s="25"/>
      <c r="M152" s="26"/>
      <c r="N152" s="26"/>
      <c r="O152" s="26"/>
      <c r="P152" s="26"/>
      <c r="Q152" s="26"/>
      <c r="R152" s="27">
        <f t="shared" si="5"/>
        <v>0</v>
      </c>
      <c r="S152" s="20"/>
      <c r="T152" s="31"/>
      <c r="U152" s="32"/>
      <c r="V152" s="32"/>
      <c r="W152" s="31"/>
      <c r="X152" s="32"/>
      <c r="Y152" s="33"/>
    </row>
    <row r="153" spans="1:25" x14ac:dyDescent="0.2">
      <c r="A153" s="24"/>
      <c r="B153" s="24"/>
      <c r="C153" s="24">
        <v>32</v>
      </c>
      <c r="D153" s="25"/>
      <c r="E153" s="26"/>
      <c r="F153" s="26"/>
      <c r="G153" s="26"/>
      <c r="H153" s="26"/>
      <c r="I153" s="26"/>
      <c r="J153" s="27">
        <f t="shared" si="4"/>
        <v>0</v>
      </c>
      <c r="L153" s="25"/>
      <c r="M153" s="26"/>
      <c r="N153" s="26"/>
      <c r="O153" s="26"/>
      <c r="P153" s="26"/>
      <c r="Q153" s="26"/>
      <c r="R153" s="27">
        <f t="shared" si="5"/>
        <v>0</v>
      </c>
      <c r="S153" s="20"/>
      <c r="T153" s="31"/>
      <c r="U153" s="32"/>
      <c r="V153" s="32"/>
      <c r="W153" s="31"/>
      <c r="X153" s="32"/>
      <c r="Y153" s="33"/>
    </row>
    <row r="154" spans="1:25" ht="12.75" thickBot="1" x14ac:dyDescent="0.25">
      <c r="A154" s="24"/>
      <c r="B154" s="34"/>
      <c r="C154" s="34">
        <v>37</v>
      </c>
      <c r="D154" s="35"/>
      <c r="E154" s="36"/>
      <c r="F154" s="36"/>
      <c r="G154" s="36"/>
      <c r="H154" s="36"/>
      <c r="I154" s="36"/>
      <c r="J154" s="37">
        <f t="shared" si="4"/>
        <v>0</v>
      </c>
      <c r="L154" s="35"/>
      <c r="M154" s="36"/>
      <c r="N154" s="36"/>
      <c r="O154" s="36"/>
      <c r="P154" s="36"/>
      <c r="Q154" s="36"/>
      <c r="R154" s="37">
        <f t="shared" si="5"/>
        <v>0</v>
      </c>
      <c r="S154" s="20"/>
      <c r="T154" s="41"/>
      <c r="U154" s="42"/>
      <c r="V154" s="42"/>
      <c r="W154" s="41"/>
      <c r="X154" s="42"/>
      <c r="Y154" s="43"/>
    </row>
    <row r="155" spans="1:25" x14ac:dyDescent="0.2">
      <c r="A155" s="24"/>
      <c r="B155" s="13"/>
      <c r="C155" s="13">
        <v>22</v>
      </c>
      <c r="D155" s="14"/>
      <c r="E155" s="15"/>
      <c r="F155" s="15"/>
      <c r="G155" s="15"/>
      <c r="H155" s="15"/>
      <c r="I155" s="15"/>
      <c r="J155" s="16">
        <f t="shared" si="4"/>
        <v>0</v>
      </c>
      <c r="L155" s="14"/>
      <c r="M155" s="15"/>
      <c r="N155" s="15"/>
      <c r="O155" s="15"/>
      <c r="P155" s="15"/>
      <c r="Q155" s="15"/>
      <c r="R155" s="16">
        <f t="shared" si="5"/>
        <v>0</v>
      </c>
      <c r="S155" s="20"/>
      <c r="T155" s="21" t="e">
        <f>bdrate($D155:$D158,E155:E158,$L155:$L158,M155:M158)</f>
        <v>#VALUE!</v>
      </c>
      <c r="U155" s="22" t="e">
        <f>bdrate($D155:$D158,F155:F158,$L155:$L158,N155:N158)</f>
        <v>#VALUE!</v>
      </c>
      <c r="V155" s="22" t="e">
        <f>bdrate($D155:$D158,G155:G158,$L155:$L158,O155:O158)</f>
        <v>#VALUE!</v>
      </c>
      <c r="W155" s="44" t="e">
        <f>bdrateOld($D155:$D158,E155:E158,$L155:$L158,M155:M158)</f>
        <v>#VALUE!</v>
      </c>
      <c r="X155" s="45" t="e">
        <f>bdrateOld($D155:$D158,F155:F158,$L155:$L158,N155:N158)</f>
        <v>#VALUE!</v>
      </c>
      <c r="Y155" s="46" t="e">
        <f>bdrateOld($D155:$D158,G155:G158,$L155:$L158,O155:O158)</f>
        <v>#VALUE!</v>
      </c>
    </row>
    <row r="156" spans="1:25" x14ac:dyDescent="0.2">
      <c r="A156" s="24"/>
      <c r="B156" s="24"/>
      <c r="C156" s="24">
        <v>27</v>
      </c>
      <c r="D156" s="25"/>
      <c r="E156" s="26"/>
      <c r="F156" s="26"/>
      <c r="G156" s="26"/>
      <c r="H156" s="26"/>
      <c r="I156" s="26"/>
      <c r="J156" s="27">
        <f t="shared" si="4"/>
        <v>0</v>
      </c>
      <c r="L156" s="25"/>
      <c r="M156" s="26"/>
      <c r="N156" s="26"/>
      <c r="O156" s="26"/>
      <c r="P156" s="26"/>
      <c r="Q156" s="26"/>
      <c r="R156" s="27">
        <f t="shared" si="5"/>
        <v>0</v>
      </c>
      <c r="S156" s="20"/>
      <c r="T156" s="31"/>
      <c r="U156" s="32"/>
      <c r="V156" s="32"/>
      <c r="W156" s="31"/>
      <c r="X156" s="32"/>
      <c r="Y156" s="33"/>
    </row>
    <row r="157" spans="1:25" x14ac:dyDescent="0.2">
      <c r="A157" s="24"/>
      <c r="B157" s="24"/>
      <c r="C157" s="24">
        <v>32</v>
      </c>
      <c r="D157" s="25"/>
      <c r="E157" s="26"/>
      <c r="F157" s="26"/>
      <c r="G157" s="26"/>
      <c r="H157" s="26"/>
      <c r="I157" s="26"/>
      <c r="J157" s="27">
        <f t="shared" si="4"/>
        <v>0</v>
      </c>
      <c r="L157" s="25"/>
      <c r="M157" s="26"/>
      <c r="N157" s="26"/>
      <c r="O157" s="26"/>
      <c r="P157" s="26"/>
      <c r="Q157" s="26"/>
      <c r="R157" s="27">
        <f t="shared" si="5"/>
        <v>0</v>
      </c>
      <c r="S157" s="20"/>
      <c r="T157" s="31"/>
      <c r="U157" s="32"/>
      <c r="V157" s="32"/>
      <c r="W157" s="31"/>
      <c r="X157" s="32"/>
      <c r="Y157" s="33"/>
    </row>
    <row r="158" spans="1:25" ht="12.75" thickBot="1" x14ac:dyDescent="0.25">
      <c r="A158" s="34"/>
      <c r="B158" s="34"/>
      <c r="C158" s="34">
        <v>37</v>
      </c>
      <c r="D158" s="35"/>
      <c r="E158" s="36"/>
      <c r="F158" s="36"/>
      <c r="G158" s="36"/>
      <c r="H158" s="36"/>
      <c r="I158" s="36"/>
      <c r="J158" s="37">
        <f t="shared" si="4"/>
        <v>0</v>
      </c>
      <c r="L158" s="35"/>
      <c r="M158" s="36"/>
      <c r="N158" s="36"/>
      <c r="O158" s="36"/>
      <c r="P158" s="36"/>
      <c r="Q158" s="36"/>
      <c r="R158" s="37">
        <f t="shared" si="5"/>
        <v>0</v>
      </c>
      <c r="S158" s="20"/>
      <c r="T158" s="41"/>
      <c r="U158" s="42"/>
      <c r="V158" s="42"/>
      <c r="W158" s="41"/>
      <c r="X158" s="42"/>
      <c r="Y158" s="43"/>
    </row>
    <row r="159" spans="1:25" x14ac:dyDescent="0.2">
      <c r="A159" s="13" t="s">
        <v>120</v>
      </c>
      <c r="B159" s="13" t="s">
        <v>109</v>
      </c>
      <c r="C159" s="13">
        <v>22</v>
      </c>
      <c r="D159" s="17">
        <v>1716.616</v>
      </c>
      <c r="E159" s="18">
        <v>49.018113999999997</v>
      </c>
      <c r="F159" s="18">
        <v>44.826154000000002</v>
      </c>
      <c r="G159" s="18">
        <v>45.082579000000003</v>
      </c>
      <c r="H159" s="18">
        <v>45.935828999999998</v>
      </c>
      <c r="I159" s="18"/>
      <c r="J159" s="16">
        <f>H159/3600</f>
        <v>1.2759952499999999E-2</v>
      </c>
      <c r="L159" s="17"/>
      <c r="M159" s="18"/>
      <c r="N159" s="18"/>
      <c r="O159" s="18"/>
      <c r="P159" s="18"/>
      <c r="Q159" s="18"/>
      <c r="R159" s="19">
        <f>P159/3600</f>
        <v>0</v>
      </c>
      <c r="S159" s="20"/>
      <c r="T159" s="21" t="e">
        <f>bdrate($D159:$D162,E159:E162,$L159:$L162,M159:M162)</f>
        <v>#VALUE!</v>
      </c>
      <c r="U159" s="22" t="e">
        <f>bdrate($D159:$D162,F159:F162,$L159:$L162,N159:N162)</f>
        <v>#VALUE!</v>
      </c>
      <c r="V159" s="23" t="e">
        <f>bdrate($D159:$D162,G159:G162,$L159:$L162,O159:O162)</f>
        <v>#VALUE!</v>
      </c>
      <c r="W159" s="21" t="e">
        <f>bdrateOld($D159:$D162,E159:E162,$L159:$L162,M159:M162)</f>
        <v>#VALUE!</v>
      </c>
      <c r="X159" s="22" t="e">
        <f>bdrateOld($D159:$D162,F159:F162,$L159:$L162,N159:N162)</f>
        <v>#VALUE!</v>
      </c>
      <c r="Y159" s="23" t="e">
        <f>bdrateOld($D159:$D162,G159:G162,$L159:$L162,O159:O162)</f>
        <v>#VALUE!</v>
      </c>
    </row>
    <row r="160" spans="1:25" x14ac:dyDescent="0.2">
      <c r="A160" s="24"/>
      <c r="B160" s="24" t="s">
        <v>110</v>
      </c>
      <c r="C160" s="24">
        <v>27</v>
      </c>
      <c r="D160" s="28">
        <v>417.16800000000001</v>
      </c>
      <c r="E160" s="29">
        <v>47.751860000000001</v>
      </c>
      <c r="F160" s="29">
        <v>42.740983999999997</v>
      </c>
      <c r="G160" s="29">
        <v>43.138092</v>
      </c>
      <c r="H160" s="29">
        <v>44.032936999999997</v>
      </c>
      <c r="I160" s="29"/>
      <c r="J160" s="27">
        <f t="shared" ref="J160:J210" si="6">H160/3600</f>
        <v>1.2231371388888888E-2</v>
      </c>
      <c r="L160" s="28"/>
      <c r="M160" s="29"/>
      <c r="N160" s="29"/>
      <c r="O160" s="29"/>
      <c r="P160" s="29"/>
      <c r="Q160" s="29"/>
      <c r="R160" s="30">
        <f t="shared" ref="R160:R210" si="7">P160/3600</f>
        <v>0</v>
      </c>
      <c r="S160" s="20"/>
      <c r="T160" s="31"/>
      <c r="U160" s="32"/>
      <c r="V160" s="33"/>
      <c r="W160" s="31"/>
      <c r="X160" s="32"/>
      <c r="Y160" s="33"/>
    </row>
    <row r="161" spans="1:25" x14ac:dyDescent="0.2">
      <c r="A161" s="24"/>
      <c r="B161" s="24"/>
      <c r="C161" s="24">
        <v>32</v>
      </c>
      <c r="D161" s="28">
        <v>164.792</v>
      </c>
      <c r="E161" s="29">
        <v>46.159120000000001</v>
      </c>
      <c r="F161" s="29">
        <v>41.860351999999999</v>
      </c>
      <c r="G161" s="29">
        <v>42.342649000000002</v>
      </c>
      <c r="H161" s="29">
        <v>43.077945999999997</v>
      </c>
      <c r="I161" s="29"/>
      <c r="J161" s="27">
        <f t="shared" si="6"/>
        <v>1.1966096111111111E-2</v>
      </c>
      <c r="L161" s="28"/>
      <c r="M161" s="29"/>
      <c r="N161" s="29"/>
      <c r="O161" s="29"/>
      <c r="P161" s="29"/>
      <c r="Q161" s="29"/>
      <c r="R161" s="30">
        <f t="shared" si="7"/>
        <v>0</v>
      </c>
      <c r="S161" s="20"/>
      <c r="T161" s="31"/>
      <c r="U161" s="32"/>
      <c r="V161" s="33"/>
      <c r="W161" s="31"/>
      <c r="X161" s="32"/>
      <c r="Y161" s="33"/>
    </row>
    <row r="162" spans="1:25" ht="12.75" thickBot="1" x14ac:dyDescent="0.25">
      <c r="A162" s="24"/>
      <c r="B162" s="34"/>
      <c r="C162" s="34">
        <v>37</v>
      </c>
      <c r="D162" s="38">
        <v>83.391999999999996</v>
      </c>
      <c r="E162" s="39">
        <v>44.092736000000002</v>
      </c>
      <c r="F162" s="39">
        <v>41.028899000000003</v>
      </c>
      <c r="G162" s="39">
        <v>41.479922000000002</v>
      </c>
      <c r="H162" s="39">
        <v>42.006633999999998</v>
      </c>
      <c r="I162" s="39"/>
      <c r="J162" s="37">
        <f t="shared" si="6"/>
        <v>1.1668509444444444E-2</v>
      </c>
      <c r="L162" s="38"/>
      <c r="M162" s="39"/>
      <c r="N162" s="39"/>
      <c r="O162" s="39"/>
      <c r="P162" s="39"/>
      <c r="Q162" s="39"/>
      <c r="R162" s="40">
        <f t="shared" si="7"/>
        <v>0</v>
      </c>
      <c r="S162" s="20"/>
      <c r="T162" s="41"/>
      <c r="U162" s="42"/>
      <c r="V162" s="43"/>
      <c r="W162" s="41"/>
      <c r="X162" s="42"/>
      <c r="Y162" s="43"/>
    </row>
    <row r="163" spans="1:25" x14ac:dyDescent="0.2">
      <c r="A163" s="24"/>
      <c r="B163" s="13" t="s">
        <v>111</v>
      </c>
      <c r="C163" s="13">
        <v>22</v>
      </c>
      <c r="D163" s="17">
        <v>6789.04</v>
      </c>
      <c r="E163" s="18">
        <v>45.346637000000001</v>
      </c>
      <c r="F163" s="18">
        <v>44.612307000000001</v>
      </c>
      <c r="G163" s="18">
        <v>44.346715000000003</v>
      </c>
      <c r="H163" s="18">
        <v>44.748322000000002</v>
      </c>
      <c r="I163" s="18"/>
      <c r="J163" s="16">
        <f t="shared" si="6"/>
        <v>1.2430089444444445E-2</v>
      </c>
      <c r="L163" s="17"/>
      <c r="M163" s="18"/>
      <c r="N163" s="18"/>
      <c r="O163" s="18"/>
      <c r="P163" s="18"/>
      <c r="Q163" s="18"/>
      <c r="R163" s="19">
        <f t="shared" si="7"/>
        <v>0</v>
      </c>
      <c r="S163" s="20"/>
      <c r="T163" s="21" t="e">
        <f>bdrate($D163:$D166,E163:E166,$L163:$L166,M163:M166)</f>
        <v>#VALUE!</v>
      </c>
      <c r="U163" s="22" t="e">
        <f>bdrate($D163:$D166,F163:F166,$L163:$L166,N163:N166)</f>
        <v>#VALUE!</v>
      </c>
      <c r="V163" s="22" t="e">
        <f>bdrate($D163:$D166,G163:G166,$L163:$L166,O163:O166)</f>
        <v>#VALUE!</v>
      </c>
      <c r="W163" s="44" t="e">
        <f>bdrateOld($D163:$D166,E163:E166,$L163:$L166,M163:M166)</f>
        <v>#VALUE!</v>
      </c>
      <c r="X163" s="45" t="e">
        <f>bdrateOld($D163:$D166,F163:F166,$L163:$L166,N163:N166)</f>
        <v>#VALUE!</v>
      </c>
      <c r="Y163" s="46" t="e">
        <f>bdrateOld($D163:$D166,G163:G166,$L163:$L166,O163:O166)</f>
        <v>#VALUE!</v>
      </c>
    </row>
    <row r="164" spans="1:25" x14ac:dyDescent="0.2">
      <c r="A164" s="24"/>
      <c r="B164" s="24"/>
      <c r="C164" s="24">
        <v>27</v>
      </c>
      <c r="D164" s="28">
        <v>3300.2</v>
      </c>
      <c r="E164" s="29">
        <v>42.389284000000004</v>
      </c>
      <c r="F164" s="29">
        <v>40.732895999999997</v>
      </c>
      <c r="G164" s="29">
        <v>40.453670000000002</v>
      </c>
      <c r="H164" s="29">
        <v>41.111866999999997</v>
      </c>
      <c r="I164" s="29"/>
      <c r="J164" s="27">
        <f t="shared" si="6"/>
        <v>1.1419963055555555E-2</v>
      </c>
      <c r="L164" s="28"/>
      <c r="M164" s="29"/>
      <c r="N164" s="29"/>
      <c r="O164" s="29"/>
      <c r="P164" s="29"/>
      <c r="Q164" s="29"/>
      <c r="R164" s="30">
        <f t="shared" si="7"/>
        <v>0</v>
      </c>
      <c r="S164" s="20"/>
      <c r="T164" s="31"/>
      <c r="U164" s="32"/>
      <c r="V164" s="32"/>
      <c r="W164" s="31"/>
      <c r="X164" s="32"/>
      <c r="Y164" s="33"/>
    </row>
    <row r="165" spans="1:25" x14ac:dyDescent="0.2">
      <c r="A165" s="24"/>
      <c r="B165" s="24"/>
      <c r="C165" s="24">
        <v>32</v>
      </c>
      <c r="D165" s="28">
        <v>1358.3040000000001</v>
      </c>
      <c r="E165" s="29">
        <v>40.122120000000002</v>
      </c>
      <c r="F165" s="29">
        <v>37.604180999999997</v>
      </c>
      <c r="G165" s="29">
        <v>37.390709000000001</v>
      </c>
      <c r="H165" s="29">
        <v>38.208314999999999</v>
      </c>
      <c r="I165" s="29"/>
      <c r="J165" s="27">
        <f t="shared" si="6"/>
        <v>1.0613420833333333E-2</v>
      </c>
      <c r="L165" s="28"/>
      <c r="M165" s="29"/>
      <c r="N165" s="29"/>
      <c r="O165" s="29"/>
      <c r="P165" s="29"/>
      <c r="Q165" s="29"/>
      <c r="R165" s="30">
        <f t="shared" si="7"/>
        <v>0</v>
      </c>
      <c r="S165" s="20"/>
      <c r="T165" s="31"/>
      <c r="U165" s="47"/>
      <c r="V165" s="32"/>
      <c r="W165" s="31"/>
      <c r="X165" s="32"/>
      <c r="Y165" s="33"/>
    </row>
    <row r="166" spans="1:25" ht="12.75" thickBot="1" x14ac:dyDescent="0.25">
      <c r="A166" s="24"/>
      <c r="B166" s="34"/>
      <c r="C166" s="34">
        <v>37</v>
      </c>
      <c r="D166" s="38">
        <v>577.84799999999996</v>
      </c>
      <c r="E166" s="39">
        <v>38.012376000000003</v>
      </c>
      <c r="F166" s="39">
        <v>35.455528000000001</v>
      </c>
      <c r="G166" s="39">
        <v>35.364240000000002</v>
      </c>
      <c r="H166" s="39">
        <v>36.116826000000003</v>
      </c>
      <c r="I166" s="39"/>
      <c r="J166" s="37">
        <f t="shared" si="6"/>
        <v>1.0032451666666668E-2</v>
      </c>
      <c r="L166" s="38"/>
      <c r="M166" s="39"/>
      <c r="N166" s="39"/>
      <c r="O166" s="39"/>
      <c r="P166" s="39"/>
      <c r="Q166" s="39"/>
      <c r="R166" s="40">
        <f t="shared" si="7"/>
        <v>0</v>
      </c>
      <c r="S166" s="20"/>
      <c r="T166" s="41"/>
      <c r="U166" s="42"/>
      <c r="V166" s="42"/>
      <c r="W166" s="41"/>
      <c r="X166" s="42"/>
      <c r="Y166" s="43"/>
    </row>
    <row r="167" spans="1:25" x14ac:dyDescent="0.2">
      <c r="A167" s="118"/>
      <c r="B167" s="117" t="s">
        <v>112</v>
      </c>
      <c r="C167" s="117">
        <v>22</v>
      </c>
      <c r="D167" s="17">
        <v>5743.192</v>
      </c>
      <c r="E167" s="18">
        <v>48.371009000000001</v>
      </c>
      <c r="F167" s="18">
        <v>523.27734399999997</v>
      </c>
      <c r="G167" s="18">
        <v>523.40223200000003</v>
      </c>
      <c r="H167" s="18">
        <v>49.208063000000003</v>
      </c>
      <c r="I167" s="18"/>
      <c r="J167" s="16">
        <f t="shared" si="6"/>
        <v>1.366890638888889E-2</v>
      </c>
      <c r="L167" s="14">
        <v>4209.6719999999996</v>
      </c>
      <c r="M167" s="15">
        <v>46.944206000000001</v>
      </c>
      <c r="N167" s="15">
        <v>521.68015300000002</v>
      </c>
      <c r="O167" s="15">
        <v>521.85069299999998</v>
      </c>
      <c r="P167" s="15">
        <v>46.594639000000001</v>
      </c>
      <c r="Q167" s="18"/>
      <c r="R167" s="19">
        <f t="shared" si="7"/>
        <v>1.2942955277777777E-2</v>
      </c>
      <c r="S167" s="20"/>
      <c r="T167" s="21">
        <f>bdrate($D167:$D170,E167:E170,$L167:$L170,M167:M170)</f>
        <v>-0.1555528268411267</v>
      </c>
      <c r="U167" s="22">
        <f>bdrate($D167:$D170,F167:F170,$L167:$L170,N167:N170)</f>
        <v>0.22261923550497653</v>
      </c>
      <c r="V167" s="22">
        <f>bdrate($D167:$D170,G167:G170,$L167:$L170,O167:O170)</f>
        <v>0.2409544836401909</v>
      </c>
      <c r="W167" s="44">
        <f>bdrateOld($D167:$D170,E167:E170,$L167:$L170,M167:M170)</f>
        <v>-0.15438944888388217</v>
      </c>
      <c r="X167" s="45">
        <f>bdrateOld($D167:$D170,F167:F170,$L167:$L170,N167:N170)</f>
        <v>0.19760525273849461</v>
      </c>
      <c r="Y167" s="46">
        <f>bdrateOld($D167:$D170,G167:G170,$L167:$L170,O167:O170)</f>
        <v>0.29554085539249253</v>
      </c>
    </row>
    <row r="168" spans="1:25" x14ac:dyDescent="0.2">
      <c r="A168" s="118"/>
      <c r="B168" s="118"/>
      <c r="C168" s="118">
        <v>27</v>
      </c>
      <c r="D168" s="28">
        <v>3455.5120000000002</v>
      </c>
      <c r="E168" s="29">
        <v>45.059885000000001</v>
      </c>
      <c r="F168" s="29">
        <v>521.48115099999995</v>
      </c>
      <c r="G168" s="29">
        <v>521.68136200000004</v>
      </c>
      <c r="H168" s="29">
        <v>45.772083000000002</v>
      </c>
      <c r="I168" s="29"/>
      <c r="J168" s="27">
        <f t="shared" si="6"/>
        <v>1.27144675E-2</v>
      </c>
      <c r="L168" s="25">
        <v>2128.5680000000002</v>
      </c>
      <c r="M168" s="26">
        <v>43.174976000000001</v>
      </c>
      <c r="N168" s="26">
        <v>519.36536899999999</v>
      </c>
      <c r="O168" s="26">
        <v>519.66746999999998</v>
      </c>
      <c r="P168" s="26">
        <v>42.253427000000002</v>
      </c>
      <c r="Q168" s="29"/>
      <c r="R168" s="30">
        <f t="shared" si="7"/>
        <v>1.1737063055555556E-2</v>
      </c>
      <c r="S168" s="20"/>
      <c r="T168" s="31"/>
      <c r="U168" s="32"/>
      <c r="V168" s="32"/>
      <c r="W168" s="31"/>
      <c r="X168" s="32"/>
      <c r="Y168" s="33"/>
    </row>
    <row r="169" spans="1:25" x14ac:dyDescent="0.2">
      <c r="A169" s="118"/>
      <c r="B169" s="118" t="s">
        <v>126</v>
      </c>
      <c r="C169" s="118">
        <v>32</v>
      </c>
      <c r="D169" s="28">
        <v>1928.912</v>
      </c>
      <c r="E169" s="29">
        <v>41.862892000000002</v>
      </c>
      <c r="F169" s="29">
        <v>519.67624000000001</v>
      </c>
      <c r="G169" s="29">
        <v>519.99694599999998</v>
      </c>
      <c r="H169" s="29">
        <v>42.391232000000002</v>
      </c>
      <c r="I169" s="29"/>
      <c r="J169" s="27">
        <f t="shared" si="6"/>
        <v>1.1775342222222223E-2</v>
      </c>
      <c r="L169" s="25">
        <v>938.62400000000002</v>
      </c>
      <c r="M169" s="26">
        <v>39.684586000000003</v>
      </c>
      <c r="N169" s="26">
        <v>517.15719899999999</v>
      </c>
      <c r="O169" s="26">
        <v>517.78396099999998</v>
      </c>
      <c r="P169" s="26">
        <v>38.261434999999999</v>
      </c>
      <c r="Q169" s="29"/>
      <c r="R169" s="30">
        <f t="shared" si="7"/>
        <v>1.0628176388888888E-2</v>
      </c>
      <c r="S169" s="20"/>
      <c r="T169" s="31"/>
      <c r="U169" s="32"/>
      <c r="V169" s="32"/>
      <c r="W169" s="31"/>
      <c r="X169" s="32"/>
      <c r="Y169" s="33"/>
    </row>
    <row r="170" spans="1:25" ht="12.75" thickBot="1" x14ac:dyDescent="0.25">
      <c r="A170" s="118"/>
      <c r="B170" s="119"/>
      <c r="C170" s="119">
        <v>37</v>
      </c>
      <c r="D170" s="38">
        <v>976.99199999999996</v>
      </c>
      <c r="E170" s="39">
        <v>38.850690999999998</v>
      </c>
      <c r="F170" s="39">
        <v>517.94003699999996</v>
      </c>
      <c r="G170" s="39">
        <v>518.45583499999998</v>
      </c>
      <c r="H170" s="39">
        <v>39.199858999999996</v>
      </c>
      <c r="I170" s="39"/>
      <c r="J170" s="37">
        <f t="shared" si="6"/>
        <v>1.0888849722222222E-2</v>
      </c>
      <c r="L170" s="35">
        <v>435.488</v>
      </c>
      <c r="M170" s="36">
        <v>36.787235000000003</v>
      </c>
      <c r="N170" s="36">
        <v>515.61434099999997</v>
      </c>
      <c r="O170" s="36">
        <v>516.57518800000003</v>
      </c>
      <c r="P170" s="36">
        <v>35.434967</v>
      </c>
      <c r="Q170" s="39"/>
      <c r="R170" s="40">
        <f t="shared" si="7"/>
        <v>9.8430463888888892E-3</v>
      </c>
      <c r="S170" s="20"/>
      <c r="T170" s="41"/>
      <c r="U170" s="42"/>
      <c r="V170" s="42"/>
      <c r="W170" s="41"/>
      <c r="X170" s="42"/>
      <c r="Y170" s="43"/>
    </row>
    <row r="171" spans="1:25" x14ac:dyDescent="0.2">
      <c r="A171" s="118"/>
      <c r="B171" s="117" t="s">
        <v>113</v>
      </c>
      <c r="C171" s="117">
        <v>22</v>
      </c>
      <c r="D171" s="17">
        <v>5743.192</v>
      </c>
      <c r="E171" s="18">
        <v>48.371009000000001</v>
      </c>
      <c r="F171" s="18">
        <v>523.27734399999997</v>
      </c>
      <c r="G171" s="18">
        <v>523.40223200000003</v>
      </c>
      <c r="H171" s="18">
        <v>49.208063000000003</v>
      </c>
      <c r="I171" s="18"/>
      <c r="J171" s="16">
        <f t="shared" si="6"/>
        <v>1.366890638888889E-2</v>
      </c>
      <c r="L171" s="17"/>
      <c r="M171" s="18"/>
      <c r="N171" s="18"/>
      <c r="O171" s="18"/>
      <c r="P171" s="18"/>
      <c r="Q171" s="18"/>
      <c r="R171" s="19">
        <f t="shared" si="7"/>
        <v>0</v>
      </c>
      <c r="S171" s="20"/>
      <c r="T171" s="21" t="e">
        <f>bdrate($D171:$D174,E171:E174,$L171:$L174,M171:M174)</f>
        <v>#VALUE!</v>
      </c>
      <c r="U171" s="22" t="e">
        <f>bdrate($D171:$D174,F171:F174,$L171:$L174,N171:N174)</f>
        <v>#VALUE!</v>
      </c>
      <c r="V171" s="22" t="e">
        <f>bdrate($D171:$D174,G171:G174,$L171:$L174,O171:O174)</f>
        <v>#VALUE!</v>
      </c>
      <c r="W171" s="44" t="e">
        <f>bdrateOld($D171:$D174,E171:E174,$L171:$L174,M171:M174)</f>
        <v>#VALUE!</v>
      </c>
      <c r="X171" s="45" t="e">
        <f>bdrateOld($D171:$D174,F171:F174,$L171:$L174,N171:N174)</f>
        <v>#VALUE!</v>
      </c>
      <c r="Y171" s="46" t="e">
        <f>bdrateOld($D171:$D174,G171:G174,$L171:$L174,O171:O174)</f>
        <v>#VALUE!</v>
      </c>
    </row>
    <row r="172" spans="1:25" x14ac:dyDescent="0.2">
      <c r="A172" s="118"/>
      <c r="B172" s="118"/>
      <c r="C172" s="118">
        <v>27</v>
      </c>
      <c r="D172" s="28">
        <v>3455.5120000000002</v>
      </c>
      <c r="E172" s="29">
        <v>45.059885000000001</v>
      </c>
      <c r="F172" s="29">
        <v>521.48115099999995</v>
      </c>
      <c r="G172" s="29">
        <v>521.68136200000004</v>
      </c>
      <c r="H172" s="29">
        <v>45.772083000000002</v>
      </c>
      <c r="I172" s="29"/>
      <c r="J172" s="27">
        <f t="shared" si="6"/>
        <v>1.27144675E-2</v>
      </c>
      <c r="L172" s="28"/>
      <c r="M172" s="29"/>
      <c r="N172" s="29"/>
      <c r="O172" s="29"/>
      <c r="P172" s="29"/>
      <c r="Q172" s="29"/>
      <c r="R172" s="30">
        <f t="shared" si="7"/>
        <v>0</v>
      </c>
      <c r="S172" s="20"/>
      <c r="T172" s="31"/>
      <c r="U172" s="32"/>
      <c r="V172" s="32"/>
      <c r="W172" s="31"/>
      <c r="X172" s="32"/>
      <c r="Y172" s="33"/>
    </row>
    <row r="173" spans="1:25" x14ac:dyDescent="0.2">
      <c r="A173" s="118"/>
      <c r="B173" s="118" t="s">
        <v>126</v>
      </c>
      <c r="C173" s="118">
        <v>32</v>
      </c>
      <c r="D173" s="28">
        <v>1928.912</v>
      </c>
      <c r="E173" s="29">
        <v>41.862892000000002</v>
      </c>
      <c r="F173" s="29">
        <v>519.67624000000001</v>
      </c>
      <c r="G173" s="29">
        <v>519.99694599999998</v>
      </c>
      <c r="H173" s="29">
        <v>42.391232000000002</v>
      </c>
      <c r="I173" s="29"/>
      <c r="J173" s="27">
        <f t="shared" si="6"/>
        <v>1.1775342222222223E-2</v>
      </c>
      <c r="L173" s="28"/>
      <c r="M173" s="29"/>
      <c r="N173" s="29"/>
      <c r="O173" s="29"/>
      <c r="P173" s="29"/>
      <c r="Q173" s="29"/>
      <c r="R173" s="30">
        <f t="shared" si="7"/>
        <v>0</v>
      </c>
      <c r="S173" s="20"/>
      <c r="T173" s="31"/>
      <c r="U173" s="32"/>
      <c r="V173" s="32"/>
      <c r="W173" s="31"/>
      <c r="X173" s="32"/>
      <c r="Y173" s="33"/>
    </row>
    <row r="174" spans="1:25" ht="12.75" thickBot="1" x14ac:dyDescent="0.25">
      <c r="A174" s="118"/>
      <c r="B174" s="119"/>
      <c r="C174" s="119">
        <v>37</v>
      </c>
      <c r="D174" s="38">
        <v>976.99199999999996</v>
      </c>
      <c r="E174" s="39">
        <v>38.850690999999998</v>
      </c>
      <c r="F174" s="39">
        <v>517.94003699999996</v>
      </c>
      <c r="G174" s="39">
        <v>518.45583499999998</v>
      </c>
      <c r="H174" s="39">
        <v>39.199858999999996</v>
      </c>
      <c r="I174" s="39"/>
      <c r="J174" s="37">
        <f t="shared" si="6"/>
        <v>1.0888849722222222E-2</v>
      </c>
      <c r="L174" s="38"/>
      <c r="M174" s="39"/>
      <c r="N174" s="39"/>
      <c r="O174" s="39"/>
      <c r="P174" s="39"/>
      <c r="Q174" s="39"/>
      <c r="R174" s="40">
        <f t="shared" si="7"/>
        <v>0</v>
      </c>
      <c r="S174" s="20"/>
      <c r="T174" s="41"/>
      <c r="U174" s="42"/>
      <c r="V174" s="42"/>
      <c r="W174" s="41"/>
      <c r="X174" s="42"/>
      <c r="Y174" s="43"/>
    </row>
    <row r="175" spans="1:25" x14ac:dyDescent="0.2">
      <c r="A175" s="24"/>
      <c r="B175" s="13" t="s">
        <v>115</v>
      </c>
      <c r="C175" s="13">
        <v>22</v>
      </c>
      <c r="D175" s="14">
        <v>1132.48</v>
      </c>
      <c r="E175" s="15">
        <v>48.313071999999998</v>
      </c>
      <c r="F175" s="15"/>
      <c r="G175" s="15"/>
      <c r="H175" s="15"/>
      <c r="I175" s="15"/>
      <c r="J175" s="16">
        <f t="shared" si="6"/>
        <v>0</v>
      </c>
      <c r="L175" s="14"/>
      <c r="M175" s="15"/>
      <c r="N175" s="15"/>
      <c r="O175" s="15"/>
      <c r="P175" s="15"/>
      <c r="Q175" s="15"/>
      <c r="R175" s="16">
        <f t="shared" si="7"/>
        <v>0</v>
      </c>
      <c r="S175" s="20"/>
      <c r="T175" s="21" t="e">
        <f>bdrate($D175:$D178,E175:E178,$L175:$L178,M175:M178)</f>
        <v>#VALUE!</v>
      </c>
      <c r="U175" s="22" t="e">
        <f>bdrate($D175:$D178,F175:F178,$L175:$L178,N175:N178)</f>
        <v>#VALUE!</v>
      </c>
      <c r="V175" s="22" t="e">
        <f>bdrate($D175:$D178,G175:G178,$L175:$L178,O175:O178)</f>
        <v>#VALUE!</v>
      </c>
      <c r="W175" s="44" t="e">
        <f>bdrateOld($D175:$D178,E175:E178,$L175:$L178,M175:M178)</f>
        <v>#VALUE!</v>
      </c>
      <c r="X175" s="45" t="e">
        <f>bdrateOld($D175:$D178,F175:F178,$L175:$L178,N175:N178)</f>
        <v>#VALUE!</v>
      </c>
      <c r="Y175" s="46" t="e">
        <f>bdrateOld($D175:$D178,G175:G178,$L175:$L178,O175:O178)</f>
        <v>#VALUE!</v>
      </c>
    </row>
    <row r="176" spans="1:25" x14ac:dyDescent="0.2">
      <c r="A176" s="24"/>
      <c r="B176" s="24" t="s">
        <v>114</v>
      </c>
      <c r="C176" s="24">
        <v>27</v>
      </c>
      <c r="D176" s="25">
        <v>666.46400000000006</v>
      </c>
      <c r="E176" s="26">
        <v>44.983851000000001</v>
      </c>
      <c r="F176" s="26"/>
      <c r="G176" s="26"/>
      <c r="H176" s="26"/>
      <c r="I176" s="26"/>
      <c r="J176" s="27">
        <f t="shared" si="6"/>
        <v>0</v>
      </c>
      <c r="L176" s="25"/>
      <c r="M176" s="26"/>
      <c r="N176" s="26"/>
      <c r="O176" s="26"/>
      <c r="P176" s="26"/>
      <c r="Q176" s="26"/>
      <c r="R176" s="27">
        <f t="shared" si="7"/>
        <v>0</v>
      </c>
      <c r="S176" s="20"/>
      <c r="T176" s="31"/>
      <c r="U176" s="32"/>
      <c r="V176" s="32"/>
      <c r="W176" s="31"/>
      <c r="X176" s="32"/>
      <c r="Y176" s="33"/>
    </row>
    <row r="177" spans="1:25" x14ac:dyDescent="0.2">
      <c r="A177" s="24"/>
      <c r="B177" s="24"/>
      <c r="C177" s="24">
        <v>32</v>
      </c>
      <c r="D177" s="25">
        <v>384.88799999999998</v>
      </c>
      <c r="E177" s="26">
        <v>41.865425999999999</v>
      </c>
      <c r="F177" s="26"/>
      <c r="G177" s="26"/>
      <c r="H177" s="26"/>
      <c r="I177" s="26"/>
      <c r="J177" s="27">
        <f t="shared" si="6"/>
        <v>0</v>
      </c>
      <c r="L177" s="25"/>
      <c r="M177" s="26"/>
      <c r="N177" s="26"/>
      <c r="O177" s="26"/>
      <c r="P177" s="26"/>
      <c r="Q177" s="26"/>
      <c r="R177" s="27">
        <f t="shared" si="7"/>
        <v>0</v>
      </c>
      <c r="S177" s="20"/>
      <c r="T177" s="31"/>
      <c r="U177" s="32"/>
      <c r="V177" s="32"/>
      <c r="W177" s="31"/>
      <c r="X177" s="32"/>
      <c r="Y177" s="33"/>
    </row>
    <row r="178" spans="1:25" ht="12.75" thickBot="1" x14ac:dyDescent="0.25">
      <c r="A178" s="24"/>
      <c r="B178" s="34"/>
      <c r="C178" s="34">
        <v>37</v>
      </c>
      <c r="D178" s="35">
        <v>220.83199999999999</v>
      </c>
      <c r="E178" s="36">
        <v>38.875869000000002</v>
      </c>
      <c r="F178" s="36"/>
      <c r="G178" s="36"/>
      <c r="H178" s="36"/>
      <c r="I178" s="36"/>
      <c r="J178" s="37">
        <f t="shared" si="6"/>
        <v>0</v>
      </c>
      <c r="L178" s="35"/>
      <c r="M178" s="36"/>
      <c r="N178" s="36"/>
      <c r="O178" s="36"/>
      <c r="P178" s="36"/>
      <c r="Q178" s="36"/>
      <c r="R178" s="37">
        <f t="shared" si="7"/>
        <v>0</v>
      </c>
      <c r="S178" s="20"/>
      <c r="T178" s="41"/>
      <c r="U178" s="42"/>
      <c r="V178" s="42"/>
      <c r="W178" s="41"/>
      <c r="X178" s="42"/>
      <c r="Y178" s="43"/>
    </row>
    <row r="179" spans="1:25" x14ac:dyDescent="0.2">
      <c r="A179" s="24"/>
      <c r="B179" s="13" t="s">
        <v>109</v>
      </c>
      <c r="C179" s="13">
        <v>22</v>
      </c>
      <c r="D179" s="14">
        <v>4580.8959999999997</v>
      </c>
      <c r="E179" s="15">
        <v>48.531694999999999</v>
      </c>
      <c r="F179" s="15">
        <v>46.564689000000001</v>
      </c>
      <c r="G179" s="15">
        <v>46.814464000000001</v>
      </c>
      <c r="H179" s="15">
        <v>47.219907999999997</v>
      </c>
      <c r="I179" s="15"/>
      <c r="J179" s="16">
        <f t="shared" si="6"/>
        <v>1.311664111111111E-2</v>
      </c>
      <c r="L179" s="14"/>
      <c r="M179" s="15"/>
      <c r="N179" s="15"/>
      <c r="O179" s="15"/>
      <c r="P179" s="15"/>
      <c r="Q179" s="15"/>
      <c r="R179" s="16">
        <f t="shared" si="7"/>
        <v>0</v>
      </c>
      <c r="S179" s="20"/>
      <c r="T179" s="21" t="e">
        <f>bdrate($D179:$D182,E179:E182,$L179:$L182,M179:M182)</f>
        <v>#VALUE!</v>
      </c>
      <c r="U179" s="22" t="e">
        <f>bdrate($D179:$D182,F179:F182,$L179:$L182,N179:N182)</f>
        <v>#VALUE!</v>
      </c>
      <c r="V179" s="22" t="e">
        <f>bdrate($D179:$D182,G179:G182,$L179:$L182,O179:O182)</f>
        <v>#VALUE!</v>
      </c>
      <c r="W179" s="44" t="e">
        <f>bdrateOld($D179:$D182,E179:E182,$L179:$L182,M179:M182)</f>
        <v>#VALUE!</v>
      </c>
      <c r="X179" s="45" t="e">
        <f>bdrateOld($D179:$D182,F179:F182,$L179:$L182,N179:N182)</f>
        <v>#VALUE!</v>
      </c>
      <c r="Y179" s="46" t="e">
        <f>bdrateOld($D179:$D182,G179:G182,$L179:$L182,O179:O182)</f>
        <v>#VALUE!</v>
      </c>
    </row>
    <row r="180" spans="1:25" x14ac:dyDescent="0.2">
      <c r="A180" s="24"/>
      <c r="B180" s="24" t="s">
        <v>114</v>
      </c>
      <c r="C180" s="24">
        <v>27</v>
      </c>
      <c r="D180" s="25">
        <v>2787.16</v>
      </c>
      <c r="E180" s="26">
        <v>45.164676999999998</v>
      </c>
      <c r="F180" s="26">
        <v>42.972301999999999</v>
      </c>
      <c r="G180" s="26">
        <v>43.372723000000001</v>
      </c>
      <c r="H180" s="26">
        <v>43.737200999999999</v>
      </c>
      <c r="I180" s="26"/>
      <c r="J180" s="27">
        <f t="shared" si="6"/>
        <v>1.2149222499999999E-2</v>
      </c>
      <c r="L180" s="25"/>
      <c r="M180" s="26"/>
      <c r="N180" s="26"/>
      <c r="O180" s="26"/>
      <c r="P180" s="26"/>
      <c r="Q180" s="26"/>
      <c r="R180" s="27">
        <f t="shared" si="7"/>
        <v>0</v>
      </c>
      <c r="S180" s="20"/>
      <c r="T180" s="31"/>
      <c r="U180" s="32"/>
      <c r="V180" s="32"/>
      <c r="W180" s="31"/>
      <c r="X180" s="32"/>
      <c r="Y180" s="33"/>
    </row>
    <row r="181" spans="1:25" x14ac:dyDescent="0.2">
      <c r="A181" s="24"/>
      <c r="B181" s="24"/>
      <c r="C181" s="24">
        <v>32</v>
      </c>
      <c r="D181" s="25">
        <v>1543.088</v>
      </c>
      <c r="E181" s="26">
        <v>41.847245000000001</v>
      </c>
      <c r="F181" s="26">
        <v>39.362479999999998</v>
      </c>
      <c r="G181" s="26">
        <v>40.003892999999998</v>
      </c>
      <c r="H181" s="26">
        <v>40.282966999999999</v>
      </c>
      <c r="I181" s="26"/>
      <c r="J181" s="27">
        <f t="shared" si="6"/>
        <v>1.1189713055555555E-2</v>
      </c>
      <c r="L181" s="25"/>
      <c r="M181" s="26"/>
      <c r="N181" s="26"/>
      <c r="O181" s="26"/>
      <c r="P181" s="26"/>
      <c r="Q181" s="26"/>
      <c r="R181" s="27">
        <f t="shared" si="7"/>
        <v>0</v>
      </c>
      <c r="S181" s="20"/>
      <c r="T181" s="31"/>
      <c r="U181" s="32"/>
      <c r="V181" s="32"/>
      <c r="W181" s="31"/>
      <c r="X181" s="32"/>
      <c r="Y181" s="33"/>
    </row>
    <row r="182" spans="1:25" ht="12.75" thickBot="1" x14ac:dyDescent="0.25">
      <c r="A182" s="24"/>
      <c r="B182" s="34"/>
      <c r="C182" s="34">
        <v>37</v>
      </c>
      <c r="D182" s="35">
        <v>754.70399999999995</v>
      </c>
      <c r="E182" s="36">
        <v>38.823926</v>
      </c>
      <c r="F182" s="36">
        <v>35.890075000000003</v>
      </c>
      <c r="G182" s="36">
        <v>36.921669000000001</v>
      </c>
      <c r="H182" s="36">
        <v>37.048827000000003</v>
      </c>
      <c r="I182" s="36"/>
      <c r="J182" s="37">
        <f t="shared" si="6"/>
        <v>1.0291340833333334E-2</v>
      </c>
      <c r="L182" s="35"/>
      <c r="M182" s="36"/>
      <c r="N182" s="36"/>
      <c r="O182" s="36"/>
      <c r="P182" s="36"/>
      <c r="Q182" s="36"/>
      <c r="R182" s="37">
        <f t="shared" si="7"/>
        <v>0</v>
      </c>
      <c r="S182" s="20"/>
      <c r="T182" s="41"/>
      <c r="U182" s="42"/>
      <c r="V182" s="42"/>
      <c r="W182" s="41"/>
      <c r="X182" s="42"/>
      <c r="Y182" s="43"/>
    </row>
    <row r="183" spans="1:25" x14ac:dyDescent="0.2">
      <c r="A183" s="24"/>
      <c r="B183" s="13" t="s">
        <v>112</v>
      </c>
      <c r="C183" s="13">
        <v>22</v>
      </c>
      <c r="D183" s="14">
        <v>4209.6719999999996</v>
      </c>
      <c r="E183" s="15">
        <v>46.944206000000001</v>
      </c>
      <c r="F183" s="15">
        <v>521.68015300000002</v>
      </c>
      <c r="G183" s="15">
        <v>521.85069299999998</v>
      </c>
      <c r="H183" s="15">
        <v>46.594639000000001</v>
      </c>
      <c r="I183" s="15"/>
      <c r="J183" s="16">
        <f t="shared" si="6"/>
        <v>1.2942955277777777E-2</v>
      </c>
      <c r="L183" s="14"/>
      <c r="M183" s="15"/>
      <c r="N183" s="15"/>
      <c r="O183" s="15"/>
      <c r="P183" s="15"/>
      <c r="Q183" s="15"/>
      <c r="R183" s="16">
        <f t="shared" si="7"/>
        <v>0</v>
      </c>
      <c r="S183" s="20"/>
      <c r="T183" s="21" t="e">
        <f>bdrate($D183:$D186,E183:E186,$L183:$L186,M183:M186)</f>
        <v>#VALUE!</v>
      </c>
      <c r="U183" s="22" t="e">
        <f>bdrate($D183:$D186,F183:F186,$L183:$L186,N183:N186)</f>
        <v>#VALUE!</v>
      </c>
      <c r="V183" s="22" t="e">
        <f>bdrate($D183:$D186,G183:G186,$L183:$L186,O183:O186)</f>
        <v>#VALUE!</v>
      </c>
      <c r="W183" s="44" t="e">
        <f>bdrateOld($D183:$D186,E183:E186,$L183:$L186,M183:M186)</f>
        <v>#VALUE!</v>
      </c>
      <c r="X183" s="45" t="e">
        <f>bdrateOld($D183:$D186,F183:F186,$L183:$L186,N183:N186)</f>
        <v>#VALUE!</v>
      </c>
      <c r="Y183" s="46" t="e">
        <f>bdrateOld($D183:$D186,G183:G186,$L183:$L186,O183:O186)</f>
        <v>#VALUE!</v>
      </c>
    </row>
    <row r="184" spans="1:25" x14ac:dyDescent="0.2">
      <c r="A184" s="24"/>
      <c r="B184" s="24"/>
      <c r="C184" s="24">
        <v>27</v>
      </c>
      <c r="D184" s="25">
        <v>2128.5680000000002</v>
      </c>
      <c r="E184" s="26">
        <v>43.174976000000001</v>
      </c>
      <c r="F184" s="26">
        <v>519.36536899999999</v>
      </c>
      <c r="G184" s="26">
        <v>519.66746999999998</v>
      </c>
      <c r="H184" s="26">
        <v>42.253427000000002</v>
      </c>
      <c r="I184" s="26"/>
      <c r="J184" s="27">
        <f t="shared" si="6"/>
        <v>1.1737063055555556E-2</v>
      </c>
      <c r="L184" s="25"/>
      <c r="M184" s="26"/>
      <c r="N184" s="26"/>
      <c r="O184" s="26"/>
      <c r="P184" s="26"/>
      <c r="Q184" s="26"/>
      <c r="R184" s="27">
        <f t="shared" si="7"/>
        <v>0</v>
      </c>
      <c r="S184" s="20"/>
      <c r="T184" s="31"/>
      <c r="U184" s="32"/>
      <c r="V184" s="32"/>
      <c r="W184" s="31"/>
      <c r="X184" s="32"/>
      <c r="Y184" s="33"/>
    </row>
    <row r="185" spans="1:25" x14ac:dyDescent="0.2">
      <c r="A185" s="24"/>
      <c r="B185" s="24" t="s">
        <v>116</v>
      </c>
      <c r="C185" s="24">
        <v>32</v>
      </c>
      <c r="D185" s="25">
        <v>938.62400000000002</v>
      </c>
      <c r="E185" s="26">
        <v>39.684586000000003</v>
      </c>
      <c r="F185" s="26">
        <v>517.15719899999999</v>
      </c>
      <c r="G185" s="26">
        <v>517.78396099999998</v>
      </c>
      <c r="H185" s="26">
        <v>38.261434999999999</v>
      </c>
      <c r="I185" s="26"/>
      <c r="J185" s="27">
        <f t="shared" si="6"/>
        <v>1.0628176388888888E-2</v>
      </c>
      <c r="L185" s="25"/>
      <c r="M185" s="26"/>
      <c r="N185" s="26"/>
      <c r="O185" s="26"/>
      <c r="P185" s="26"/>
      <c r="Q185" s="26"/>
      <c r="R185" s="27">
        <f t="shared" si="7"/>
        <v>0</v>
      </c>
      <c r="S185" s="20"/>
      <c r="T185" s="31"/>
      <c r="U185" s="32"/>
      <c r="V185" s="32"/>
      <c r="W185" s="31"/>
      <c r="X185" s="32"/>
      <c r="Y185" s="33"/>
    </row>
    <row r="186" spans="1:25" ht="12.75" thickBot="1" x14ac:dyDescent="0.25">
      <c r="A186" s="24"/>
      <c r="B186" s="34"/>
      <c r="C186" s="34">
        <v>37</v>
      </c>
      <c r="D186" s="35">
        <v>435.488</v>
      </c>
      <c r="E186" s="36">
        <v>36.787235000000003</v>
      </c>
      <c r="F186" s="36">
        <v>515.61434099999997</v>
      </c>
      <c r="G186" s="36">
        <v>516.57518800000003</v>
      </c>
      <c r="H186" s="36">
        <v>35.434967</v>
      </c>
      <c r="I186" s="36"/>
      <c r="J186" s="37">
        <f t="shared" si="6"/>
        <v>9.8430463888888892E-3</v>
      </c>
      <c r="L186" s="35"/>
      <c r="M186" s="36"/>
      <c r="N186" s="36"/>
      <c r="O186" s="36"/>
      <c r="P186" s="36"/>
      <c r="Q186" s="36"/>
      <c r="R186" s="37">
        <f t="shared" si="7"/>
        <v>0</v>
      </c>
      <c r="S186" s="20"/>
      <c r="T186" s="41"/>
      <c r="U186" s="42"/>
      <c r="V186" s="42"/>
      <c r="W186" s="41"/>
      <c r="X186" s="42"/>
      <c r="Y186" s="43"/>
    </row>
    <row r="187" spans="1:25" x14ac:dyDescent="0.2">
      <c r="A187" s="24"/>
      <c r="B187" s="13" t="s">
        <v>113</v>
      </c>
      <c r="C187" s="13">
        <v>22</v>
      </c>
      <c r="D187" s="14">
        <v>5418.7120000000004</v>
      </c>
      <c r="E187" s="15">
        <v>46.951799999999999</v>
      </c>
      <c r="F187" s="15">
        <v>79.857129999999998</v>
      </c>
      <c r="G187" s="15">
        <v>79.992026999999993</v>
      </c>
      <c r="H187" s="15">
        <v>48.499175000000001</v>
      </c>
      <c r="I187" s="15"/>
      <c r="J187" s="16">
        <f t="shared" si="6"/>
        <v>1.3471993055555556E-2</v>
      </c>
      <c r="L187" s="14"/>
      <c r="M187" s="15"/>
      <c r="N187" s="15"/>
      <c r="O187" s="15"/>
      <c r="P187" s="15"/>
      <c r="Q187" s="15"/>
      <c r="R187" s="16">
        <f t="shared" si="7"/>
        <v>0</v>
      </c>
      <c r="S187" s="20"/>
      <c r="T187" s="21" t="e">
        <f>bdrate($D187:$D190,E187:E190,$L187:$L190,M187:M190)</f>
        <v>#VALUE!</v>
      </c>
      <c r="U187" s="22" t="e">
        <f>bdrate($D187:$D190,F187:F190,$L187:$L190,N187:N190)</f>
        <v>#VALUE!</v>
      </c>
      <c r="V187" s="22" t="e">
        <f>bdrate($D187:$D190,G187:G190,$L187:$L190,O187:O190)</f>
        <v>#VALUE!</v>
      </c>
      <c r="W187" s="44" t="e">
        <f>bdrateOld($D187:$D190,E187:E190,$L187:$L190,M187:M190)</f>
        <v>#VALUE!</v>
      </c>
      <c r="X187" s="45" t="e">
        <f>bdrateOld($D187:$D190,F187:F190,$L187:$L190,N187:N190)</f>
        <v>#VALUE!</v>
      </c>
      <c r="Y187" s="46" t="e">
        <f>bdrateOld($D187:$D190,G187:G190,$L187:$L190,O187:O190)</f>
        <v>#VALUE!</v>
      </c>
    </row>
    <row r="188" spans="1:25" x14ac:dyDescent="0.2">
      <c r="A188" s="24"/>
      <c r="B188" s="24"/>
      <c r="C188" s="24">
        <v>27</v>
      </c>
      <c r="D188" s="25">
        <v>3252.9760000000001</v>
      </c>
      <c r="E188" s="26">
        <v>43.292389999999997</v>
      </c>
      <c r="F188" s="26">
        <v>521.58539199999996</v>
      </c>
      <c r="G188" s="26">
        <v>521.79525699999999</v>
      </c>
      <c r="H188" s="26">
        <v>44.843432999999997</v>
      </c>
      <c r="I188" s="26"/>
      <c r="J188" s="27">
        <f t="shared" si="6"/>
        <v>1.2456509166666666E-2</v>
      </c>
      <c r="L188" s="25"/>
      <c r="M188" s="26"/>
      <c r="N188" s="26"/>
      <c r="O188" s="26"/>
      <c r="P188" s="26"/>
      <c r="Q188" s="26"/>
      <c r="R188" s="27">
        <f t="shared" si="7"/>
        <v>0</v>
      </c>
      <c r="S188" s="20"/>
      <c r="T188" s="31"/>
      <c r="U188" s="32"/>
      <c r="V188" s="32"/>
      <c r="W188" s="31"/>
      <c r="X188" s="32"/>
      <c r="Y188" s="33"/>
    </row>
    <row r="189" spans="1:25" x14ac:dyDescent="0.2">
      <c r="A189" s="24"/>
      <c r="B189" s="24" t="s">
        <v>116</v>
      </c>
      <c r="C189" s="24">
        <v>32</v>
      </c>
      <c r="D189" s="25">
        <v>1802.096</v>
      </c>
      <c r="E189" s="26">
        <v>39.662154999999998</v>
      </c>
      <c r="F189" s="26">
        <v>519.806378</v>
      </c>
      <c r="G189" s="26">
        <v>520.11710600000004</v>
      </c>
      <c r="H189" s="26">
        <v>41.205486000000001</v>
      </c>
      <c r="I189" s="26"/>
      <c r="J189" s="27">
        <f t="shared" si="6"/>
        <v>1.1445968333333334E-2</v>
      </c>
      <c r="L189" s="25"/>
      <c r="M189" s="26"/>
      <c r="N189" s="26"/>
      <c r="O189" s="26"/>
      <c r="P189" s="26"/>
      <c r="Q189" s="26"/>
      <c r="R189" s="27">
        <f t="shared" si="7"/>
        <v>0</v>
      </c>
      <c r="S189" s="20"/>
      <c r="T189" s="31"/>
      <c r="U189" s="32"/>
      <c r="V189" s="32"/>
      <c r="W189" s="31"/>
      <c r="X189" s="32"/>
      <c r="Y189" s="33"/>
    </row>
    <row r="190" spans="1:25" ht="12.75" thickBot="1" x14ac:dyDescent="0.25">
      <c r="A190" s="24"/>
      <c r="B190" s="34"/>
      <c r="C190" s="34">
        <v>37</v>
      </c>
      <c r="D190" s="35">
        <v>911.01599999999996</v>
      </c>
      <c r="E190" s="36">
        <v>36.635108000000002</v>
      </c>
      <c r="F190" s="36">
        <v>42.128656999999997</v>
      </c>
      <c r="G190" s="36">
        <v>48.175891</v>
      </c>
      <c r="H190" s="36">
        <v>37.976995000000002</v>
      </c>
      <c r="I190" s="36"/>
      <c r="J190" s="37">
        <f t="shared" si="6"/>
        <v>1.0549165277777779E-2</v>
      </c>
      <c r="L190" s="35"/>
      <c r="M190" s="36"/>
      <c r="N190" s="36"/>
      <c r="O190" s="36"/>
      <c r="P190" s="36"/>
      <c r="Q190" s="36"/>
      <c r="R190" s="37">
        <f t="shared" si="7"/>
        <v>0</v>
      </c>
      <c r="S190" s="20"/>
      <c r="T190" s="41"/>
      <c r="U190" s="42"/>
      <c r="V190" s="42"/>
      <c r="W190" s="41"/>
      <c r="X190" s="42"/>
      <c r="Y190" s="43"/>
    </row>
    <row r="191" spans="1:25" x14ac:dyDescent="0.2">
      <c r="A191" s="24"/>
      <c r="B191" s="13" t="s">
        <v>127</v>
      </c>
      <c r="C191" s="13">
        <v>22</v>
      </c>
      <c r="D191" s="14">
        <v>5155.4080000000004</v>
      </c>
      <c r="E191" s="15">
        <v>43.160148999999997</v>
      </c>
      <c r="F191" s="15"/>
      <c r="G191" s="15"/>
      <c r="H191" s="15"/>
      <c r="I191" s="15"/>
      <c r="J191" s="16">
        <f t="shared" si="6"/>
        <v>0</v>
      </c>
      <c r="L191" s="14"/>
      <c r="M191" s="15"/>
      <c r="N191" s="15"/>
      <c r="O191" s="15"/>
      <c r="P191" s="15"/>
      <c r="Q191" s="15"/>
      <c r="R191" s="16">
        <f t="shared" si="7"/>
        <v>0</v>
      </c>
      <c r="S191" s="20"/>
      <c r="T191" s="21" t="e">
        <f>bdrate($D191:$D194,E191:E194,$L191:$L194,M191:M194)</f>
        <v>#VALUE!</v>
      </c>
      <c r="U191" s="22" t="e">
        <f>bdrate($D191:$D194,F191:F194,$L191:$L194,N191:N194)</f>
        <v>#VALUE!</v>
      </c>
      <c r="V191" s="22" t="e">
        <f>bdrate($D191:$D194,G191:G194,$L191:$L194,O191:O194)</f>
        <v>#VALUE!</v>
      </c>
      <c r="W191" s="44" t="e">
        <f>bdrateOld($D191:$D194,E191:E194,$L191:$L194,M191:M194)</f>
        <v>#VALUE!</v>
      </c>
      <c r="X191" s="45" t="e">
        <f>bdrateOld($D191:$D194,F191:F194,$L191:$L194,N191:N194)</f>
        <v>#VALUE!</v>
      </c>
      <c r="Y191" s="46" t="e">
        <f>bdrateOld($D191:$D194,G191:G194,$L191:$L194,O191:O194)</f>
        <v>#VALUE!</v>
      </c>
    </row>
    <row r="192" spans="1:25" x14ac:dyDescent="0.2">
      <c r="A192" s="24"/>
      <c r="B192" s="152">
        <v>400</v>
      </c>
      <c r="C192" s="24">
        <v>27</v>
      </c>
      <c r="D192" s="25">
        <v>2246.7759999999998</v>
      </c>
      <c r="E192" s="26">
        <v>39.40972</v>
      </c>
      <c r="F192" s="26"/>
      <c r="G192" s="26"/>
      <c r="H192" s="26"/>
      <c r="I192" s="26"/>
      <c r="J192" s="27">
        <f t="shared" si="6"/>
        <v>0</v>
      </c>
      <c r="L192" s="25"/>
      <c r="M192" s="26"/>
      <c r="N192" s="26"/>
      <c r="O192" s="26"/>
      <c r="P192" s="26"/>
      <c r="Q192" s="26"/>
      <c r="R192" s="27">
        <f t="shared" si="7"/>
        <v>0</v>
      </c>
      <c r="S192" s="20"/>
      <c r="T192" s="31"/>
      <c r="U192" s="32"/>
      <c r="V192" s="32"/>
      <c r="W192" s="31"/>
      <c r="X192" s="32"/>
      <c r="Y192" s="33"/>
    </row>
    <row r="193" spans="1:25" x14ac:dyDescent="0.2">
      <c r="A193" s="24"/>
      <c r="B193" s="24" t="s">
        <v>128</v>
      </c>
      <c r="C193" s="24">
        <v>32</v>
      </c>
      <c r="D193" s="25">
        <v>876</v>
      </c>
      <c r="E193" s="26">
        <v>36.548425000000002</v>
      </c>
      <c r="F193" s="26"/>
      <c r="G193" s="26"/>
      <c r="H193" s="26"/>
      <c r="I193" s="26"/>
      <c r="J193" s="27">
        <f t="shared" si="6"/>
        <v>0</v>
      </c>
      <c r="L193" s="25"/>
      <c r="M193" s="26"/>
      <c r="N193" s="26"/>
      <c r="O193" s="26"/>
      <c r="P193" s="26"/>
      <c r="Q193" s="26"/>
      <c r="R193" s="27">
        <f t="shared" si="7"/>
        <v>0</v>
      </c>
      <c r="S193" s="20"/>
      <c r="T193" s="31"/>
      <c r="U193" s="32"/>
      <c r="V193" s="32"/>
      <c r="W193" s="31"/>
      <c r="X193" s="32"/>
      <c r="Y193" s="33"/>
    </row>
    <row r="194" spans="1:25" ht="12.75" thickBot="1" x14ac:dyDescent="0.25">
      <c r="A194" s="24"/>
      <c r="B194" s="34"/>
      <c r="C194" s="34">
        <v>37</v>
      </c>
      <c r="D194" s="35">
        <v>382.30399999999997</v>
      </c>
      <c r="E194" s="36">
        <v>34.643740999999999</v>
      </c>
      <c r="F194" s="36"/>
      <c r="G194" s="36"/>
      <c r="H194" s="36"/>
      <c r="I194" s="36"/>
      <c r="J194" s="37">
        <f t="shared" si="6"/>
        <v>0</v>
      </c>
      <c r="L194" s="35"/>
      <c r="M194" s="36"/>
      <c r="N194" s="36"/>
      <c r="O194" s="36"/>
      <c r="P194" s="36"/>
      <c r="Q194" s="36"/>
      <c r="R194" s="37">
        <f t="shared" si="7"/>
        <v>0</v>
      </c>
      <c r="S194" s="20"/>
      <c r="T194" s="41"/>
      <c r="U194" s="42"/>
      <c r="V194" s="42"/>
      <c r="W194" s="41"/>
      <c r="X194" s="42"/>
      <c r="Y194" s="43"/>
    </row>
    <row r="195" spans="1:25" x14ac:dyDescent="0.2">
      <c r="A195" s="24"/>
      <c r="B195" s="13" t="s">
        <v>129</v>
      </c>
      <c r="C195" s="13">
        <v>22</v>
      </c>
      <c r="D195" s="14">
        <v>5284.8320000000003</v>
      </c>
      <c r="E195" s="15">
        <v>46.824384000000002</v>
      </c>
      <c r="F195" s="15">
        <v>45.613742999999999</v>
      </c>
      <c r="G195" s="15">
        <v>51.998072000000001</v>
      </c>
      <c r="H195" s="15">
        <v>47.403771999999996</v>
      </c>
      <c r="I195" s="15"/>
      <c r="J195" s="16">
        <f t="shared" si="6"/>
        <v>1.3167714444444444E-2</v>
      </c>
      <c r="L195" s="14"/>
      <c r="M195" s="15"/>
      <c r="N195" s="15"/>
      <c r="O195" s="15"/>
      <c r="P195" s="15"/>
      <c r="Q195" s="15"/>
      <c r="R195" s="16">
        <f t="shared" si="7"/>
        <v>0</v>
      </c>
      <c r="S195" s="20"/>
      <c r="T195" s="21" t="e">
        <f>bdrate($D195:$D198,E195:E198,$L195:$L198,M195:M198)</f>
        <v>#VALUE!</v>
      </c>
      <c r="U195" s="22" t="e">
        <f>bdrate($D195:$D198,F195:F198,$L195:$L198,N195:N198)</f>
        <v>#VALUE!</v>
      </c>
      <c r="V195" s="22" t="e">
        <f>bdrate($D195:$D198,G195:G198,$L195:$L198,O195:O198)</f>
        <v>#VALUE!</v>
      </c>
      <c r="W195" s="44" t="e">
        <f>bdrateOld($D195:$D198,E195:E198,$L195:$L198,M195:M198)</f>
        <v>#VALUE!</v>
      </c>
      <c r="X195" s="45" t="e">
        <f>bdrateOld($D195:$D198,F195:F198,$L195:$L198,N195:N198)</f>
        <v>#VALUE!</v>
      </c>
      <c r="Y195" s="46" t="e">
        <f>bdrateOld($D195:$D198,G195:G198,$L195:$L198,O195:O198)</f>
        <v>#VALUE!</v>
      </c>
    </row>
    <row r="196" spans="1:25" x14ac:dyDescent="0.2">
      <c r="A196" s="24"/>
      <c r="B196" s="24"/>
      <c r="C196" s="24">
        <v>27</v>
      </c>
      <c r="D196" s="25">
        <v>3129.904</v>
      </c>
      <c r="E196" s="26">
        <v>43.212718000000002</v>
      </c>
      <c r="F196" s="26">
        <v>41.274509999999999</v>
      </c>
      <c r="G196" s="26">
        <v>48.161816999999999</v>
      </c>
      <c r="H196" s="26">
        <v>43.386299999999999</v>
      </c>
      <c r="I196" s="26"/>
      <c r="J196" s="27">
        <f t="shared" si="6"/>
        <v>1.205175E-2</v>
      </c>
      <c r="L196" s="25"/>
      <c r="M196" s="26"/>
      <c r="N196" s="26"/>
      <c r="O196" s="26"/>
      <c r="P196" s="26"/>
      <c r="Q196" s="26"/>
      <c r="R196" s="27">
        <f t="shared" si="7"/>
        <v>0</v>
      </c>
      <c r="S196" s="20"/>
      <c r="T196" s="31"/>
      <c r="U196" s="32"/>
      <c r="V196" s="32"/>
      <c r="W196" s="31"/>
      <c r="X196" s="32"/>
      <c r="Y196" s="33"/>
    </row>
    <row r="197" spans="1:25" x14ac:dyDescent="0.2">
      <c r="A197" s="24"/>
      <c r="B197" s="24"/>
      <c r="C197" s="24">
        <v>32</v>
      </c>
      <c r="D197" s="25">
        <v>1681.856</v>
      </c>
      <c r="E197" s="26">
        <v>40.243462999999998</v>
      </c>
      <c r="F197" s="26">
        <v>37.400117000000002</v>
      </c>
      <c r="G197" s="26">
        <v>45.006695000000001</v>
      </c>
      <c r="H197" s="26">
        <v>39.884470999999998</v>
      </c>
      <c r="I197" s="26"/>
      <c r="J197" s="27">
        <f t="shared" si="6"/>
        <v>1.1079019722222222E-2</v>
      </c>
      <c r="L197" s="25"/>
      <c r="M197" s="26"/>
      <c r="N197" s="26"/>
      <c r="O197" s="26"/>
      <c r="P197" s="26"/>
      <c r="Q197" s="26"/>
      <c r="R197" s="27">
        <f t="shared" si="7"/>
        <v>0</v>
      </c>
      <c r="S197" s="20"/>
      <c r="T197" s="31"/>
      <c r="U197" s="32"/>
      <c r="V197" s="32"/>
      <c r="W197" s="31"/>
      <c r="X197" s="32"/>
      <c r="Y197" s="33"/>
    </row>
    <row r="198" spans="1:25" ht="12.75" thickBot="1" x14ac:dyDescent="0.25">
      <c r="A198" s="24"/>
      <c r="B198" s="34"/>
      <c r="C198" s="34">
        <v>37</v>
      </c>
      <c r="D198" s="35">
        <v>838.976</v>
      </c>
      <c r="E198" s="36">
        <v>37.388643000000002</v>
      </c>
      <c r="F198" s="36">
        <v>34.239837000000001</v>
      </c>
      <c r="G198" s="36">
        <v>41.821004000000002</v>
      </c>
      <c r="H198" s="36">
        <v>36.813001999999997</v>
      </c>
      <c r="I198" s="36"/>
      <c r="J198" s="37">
        <f t="shared" si="6"/>
        <v>1.0225833888888888E-2</v>
      </c>
      <c r="L198" s="35"/>
      <c r="M198" s="36"/>
      <c r="N198" s="36"/>
      <c r="O198" s="36"/>
      <c r="P198" s="36"/>
      <c r="Q198" s="36"/>
      <c r="R198" s="37">
        <f t="shared" si="7"/>
        <v>0</v>
      </c>
      <c r="S198" s="20"/>
      <c r="T198" s="41"/>
      <c r="U198" s="42"/>
      <c r="V198" s="42"/>
      <c r="W198" s="41"/>
      <c r="X198" s="42"/>
      <c r="Y198" s="43"/>
    </row>
    <row r="199" spans="1:25" x14ac:dyDescent="0.2">
      <c r="A199" s="24"/>
      <c r="B199" s="13"/>
      <c r="C199" s="13">
        <v>22</v>
      </c>
      <c r="D199" s="14"/>
      <c r="E199" s="15"/>
      <c r="F199" s="15"/>
      <c r="G199" s="15"/>
      <c r="H199" s="15"/>
      <c r="I199" s="15"/>
      <c r="J199" s="16">
        <f t="shared" si="6"/>
        <v>0</v>
      </c>
      <c r="L199" s="14"/>
      <c r="M199" s="15"/>
      <c r="N199" s="15"/>
      <c r="O199" s="15"/>
      <c r="P199" s="15"/>
      <c r="Q199" s="15"/>
      <c r="R199" s="16">
        <f t="shared" si="7"/>
        <v>0</v>
      </c>
      <c r="S199" s="20"/>
      <c r="T199" s="21" t="e">
        <f>bdrate($D199:$D202,E199:E202,$L199:$L202,M199:M202)</f>
        <v>#VALUE!</v>
      </c>
      <c r="U199" s="22" t="e">
        <f>bdrate($D199:$D202,F199:F202,$L199:$L202,N199:N202)</f>
        <v>#VALUE!</v>
      </c>
      <c r="V199" s="22" t="e">
        <f>bdrate($D199:$D202,G199:G202,$L199:$L202,O199:O202)</f>
        <v>#VALUE!</v>
      </c>
      <c r="W199" s="44" t="e">
        <f>bdrateOld($D199:$D202,E199:E202,$L199:$L202,M199:M202)</f>
        <v>#VALUE!</v>
      </c>
      <c r="X199" s="45" t="e">
        <f>bdrateOld($D199:$D202,F199:F202,$L199:$L202,N199:N202)</f>
        <v>#VALUE!</v>
      </c>
      <c r="Y199" s="46" t="e">
        <f>bdrateOld($D199:$D202,G199:G202,$L199:$L202,O199:O202)</f>
        <v>#VALUE!</v>
      </c>
    </row>
    <row r="200" spans="1:25" x14ac:dyDescent="0.2">
      <c r="A200" s="24"/>
      <c r="B200" s="24"/>
      <c r="C200" s="24">
        <v>27</v>
      </c>
      <c r="D200" s="25"/>
      <c r="E200" s="26"/>
      <c r="F200" s="26"/>
      <c r="G200" s="26"/>
      <c r="H200" s="26"/>
      <c r="I200" s="26"/>
      <c r="J200" s="27">
        <f t="shared" si="6"/>
        <v>0</v>
      </c>
      <c r="L200" s="25"/>
      <c r="M200" s="26"/>
      <c r="N200" s="26"/>
      <c r="O200" s="26"/>
      <c r="P200" s="26"/>
      <c r="Q200" s="26"/>
      <c r="R200" s="27">
        <f t="shared" si="7"/>
        <v>0</v>
      </c>
      <c r="S200" s="20"/>
      <c r="T200" s="31"/>
      <c r="U200" s="32"/>
      <c r="V200" s="32"/>
      <c r="W200" s="31"/>
      <c r="X200" s="32"/>
      <c r="Y200" s="33"/>
    </row>
    <row r="201" spans="1:25" x14ac:dyDescent="0.2">
      <c r="A201" s="24"/>
      <c r="B201" s="24"/>
      <c r="C201" s="24">
        <v>32</v>
      </c>
      <c r="D201" s="25"/>
      <c r="E201" s="26"/>
      <c r="F201" s="26"/>
      <c r="G201" s="26"/>
      <c r="H201" s="26"/>
      <c r="I201" s="26"/>
      <c r="J201" s="27">
        <f t="shared" si="6"/>
        <v>0</v>
      </c>
      <c r="L201" s="25"/>
      <c r="M201" s="26"/>
      <c r="N201" s="26"/>
      <c r="O201" s="26"/>
      <c r="P201" s="26"/>
      <c r="Q201" s="26"/>
      <c r="R201" s="27">
        <f t="shared" si="7"/>
        <v>0</v>
      </c>
      <c r="S201" s="20"/>
      <c r="T201" s="31"/>
      <c r="U201" s="32"/>
      <c r="V201" s="32"/>
      <c r="W201" s="31"/>
      <c r="X201" s="32"/>
      <c r="Y201" s="33"/>
    </row>
    <row r="202" spans="1:25" ht="12.75" thickBot="1" x14ac:dyDescent="0.25">
      <c r="A202" s="24"/>
      <c r="B202" s="34"/>
      <c r="C202" s="34">
        <v>37</v>
      </c>
      <c r="D202" s="35"/>
      <c r="E202" s="36"/>
      <c r="F202" s="36"/>
      <c r="G202" s="36"/>
      <c r="H202" s="36"/>
      <c r="I202" s="36"/>
      <c r="J202" s="37">
        <f t="shared" si="6"/>
        <v>0</v>
      </c>
      <c r="L202" s="35"/>
      <c r="M202" s="36"/>
      <c r="N202" s="36"/>
      <c r="O202" s="36"/>
      <c r="P202" s="36"/>
      <c r="Q202" s="36"/>
      <c r="R202" s="37">
        <f t="shared" si="7"/>
        <v>0</v>
      </c>
      <c r="S202" s="20"/>
      <c r="T202" s="41"/>
      <c r="U202" s="42"/>
      <c r="V202" s="42"/>
      <c r="W202" s="41"/>
      <c r="X202" s="42"/>
      <c r="Y202" s="43"/>
    </row>
    <row r="203" spans="1:25" x14ac:dyDescent="0.2">
      <c r="A203" s="24"/>
      <c r="B203" s="13"/>
      <c r="C203" s="13">
        <v>22</v>
      </c>
      <c r="D203" s="14"/>
      <c r="E203" s="15"/>
      <c r="F203" s="15"/>
      <c r="G203" s="15"/>
      <c r="H203" s="15"/>
      <c r="I203" s="15"/>
      <c r="J203" s="16">
        <f t="shared" si="6"/>
        <v>0</v>
      </c>
      <c r="L203" s="14"/>
      <c r="M203" s="15"/>
      <c r="N203" s="15"/>
      <c r="O203" s="15"/>
      <c r="P203" s="15"/>
      <c r="Q203" s="15"/>
      <c r="R203" s="16">
        <f t="shared" si="7"/>
        <v>0</v>
      </c>
      <c r="S203" s="20"/>
      <c r="T203" s="21" t="e">
        <f>bdrate($D203:$D206,E203:E206,$L203:$L206,M203:M206)</f>
        <v>#VALUE!</v>
      </c>
      <c r="U203" s="22" t="e">
        <f>bdrate($D203:$D206,F203:F206,$L203:$L206,N203:N206)</f>
        <v>#VALUE!</v>
      </c>
      <c r="V203" s="22" t="e">
        <f>bdrate($D203:$D206,G203:G206,$L203:$L206,O203:O206)</f>
        <v>#VALUE!</v>
      </c>
      <c r="W203" s="44" t="e">
        <f>bdrateOld($D203:$D206,E203:E206,$L203:$L206,M203:M206)</f>
        <v>#VALUE!</v>
      </c>
      <c r="X203" s="45" t="e">
        <f>bdrateOld($D203:$D206,F203:F206,$L203:$L206,N203:N206)</f>
        <v>#VALUE!</v>
      </c>
      <c r="Y203" s="46" t="e">
        <f>bdrateOld($D203:$D206,G203:G206,$L203:$L206,O203:O206)</f>
        <v>#VALUE!</v>
      </c>
    </row>
    <row r="204" spans="1:25" x14ac:dyDescent="0.2">
      <c r="A204" s="24"/>
      <c r="B204" s="24"/>
      <c r="C204" s="24">
        <v>27</v>
      </c>
      <c r="D204" s="25"/>
      <c r="E204" s="26"/>
      <c r="F204" s="26"/>
      <c r="G204" s="26"/>
      <c r="H204" s="26"/>
      <c r="I204" s="26"/>
      <c r="J204" s="27">
        <f t="shared" si="6"/>
        <v>0</v>
      </c>
      <c r="L204" s="25"/>
      <c r="M204" s="26"/>
      <c r="N204" s="26"/>
      <c r="O204" s="26"/>
      <c r="P204" s="26"/>
      <c r="Q204" s="26"/>
      <c r="R204" s="27">
        <f t="shared" si="7"/>
        <v>0</v>
      </c>
      <c r="S204" s="20"/>
      <c r="T204" s="31"/>
      <c r="U204" s="32"/>
      <c r="V204" s="32"/>
      <c r="W204" s="31"/>
      <c r="X204" s="32"/>
      <c r="Y204" s="33"/>
    </row>
    <row r="205" spans="1:25" x14ac:dyDescent="0.2">
      <c r="A205" s="24"/>
      <c r="B205" s="24"/>
      <c r="C205" s="24">
        <v>32</v>
      </c>
      <c r="D205" s="25"/>
      <c r="E205" s="26"/>
      <c r="F205" s="26"/>
      <c r="G205" s="26"/>
      <c r="H205" s="26"/>
      <c r="I205" s="26"/>
      <c r="J205" s="27">
        <f t="shared" si="6"/>
        <v>0</v>
      </c>
      <c r="L205" s="25"/>
      <c r="M205" s="26"/>
      <c r="N205" s="26"/>
      <c r="O205" s="26"/>
      <c r="P205" s="26"/>
      <c r="Q205" s="26"/>
      <c r="R205" s="27">
        <f t="shared" si="7"/>
        <v>0</v>
      </c>
      <c r="S205" s="20"/>
      <c r="T205" s="31"/>
      <c r="U205" s="32"/>
      <c r="V205" s="32"/>
      <c r="W205" s="31"/>
      <c r="X205" s="32"/>
      <c r="Y205" s="33"/>
    </row>
    <row r="206" spans="1:25" ht="12.75" thickBot="1" x14ac:dyDescent="0.25">
      <c r="A206" s="24"/>
      <c r="B206" s="34"/>
      <c r="C206" s="34">
        <v>37</v>
      </c>
      <c r="D206" s="35"/>
      <c r="E206" s="36"/>
      <c r="F206" s="36"/>
      <c r="G206" s="36"/>
      <c r="H206" s="36"/>
      <c r="I206" s="36"/>
      <c r="J206" s="37">
        <f t="shared" si="6"/>
        <v>0</v>
      </c>
      <c r="L206" s="35"/>
      <c r="M206" s="36"/>
      <c r="N206" s="36"/>
      <c r="O206" s="36"/>
      <c r="P206" s="36"/>
      <c r="Q206" s="36"/>
      <c r="R206" s="37">
        <f t="shared" si="7"/>
        <v>0</v>
      </c>
      <c r="S206" s="20"/>
      <c r="T206" s="41"/>
      <c r="U206" s="42"/>
      <c r="V206" s="42"/>
      <c r="W206" s="41"/>
      <c r="X206" s="42"/>
      <c r="Y206" s="43"/>
    </row>
    <row r="207" spans="1:25" x14ac:dyDescent="0.2">
      <c r="A207" s="24"/>
      <c r="B207" s="13"/>
      <c r="C207" s="13">
        <v>22</v>
      </c>
      <c r="D207" s="14"/>
      <c r="E207" s="15"/>
      <c r="F207" s="15"/>
      <c r="G207" s="15"/>
      <c r="H207" s="15"/>
      <c r="I207" s="15"/>
      <c r="J207" s="16">
        <f t="shared" si="6"/>
        <v>0</v>
      </c>
      <c r="L207" s="14"/>
      <c r="M207" s="15"/>
      <c r="N207" s="15"/>
      <c r="O207" s="15"/>
      <c r="P207" s="15"/>
      <c r="Q207" s="15"/>
      <c r="R207" s="16">
        <f t="shared" si="7"/>
        <v>0</v>
      </c>
      <c r="S207" s="20"/>
      <c r="T207" s="21" t="e">
        <f>bdrate($D207:$D210,E207:E210,$L207:$L210,M207:M210)</f>
        <v>#VALUE!</v>
      </c>
      <c r="U207" s="22" t="e">
        <f>bdrate($D207:$D210,F207:F210,$L207:$L210,N207:N210)</f>
        <v>#VALUE!</v>
      </c>
      <c r="V207" s="22" t="e">
        <f>bdrate($D207:$D210,G207:G210,$L207:$L210,O207:O210)</f>
        <v>#VALUE!</v>
      </c>
      <c r="W207" s="44" t="e">
        <f>bdrateOld($D207:$D210,E207:E210,$L207:$L210,M207:M210)</f>
        <v>#VALUE!</v>
      </c>
      <c r="X207" s="45" t="e">
        <f>bdrateOld($D207:$D210,F207:F210,$L207:$L210,N207:N210)</f>
        <v>#VALUE!</v>
      </c>
      <c r="Y207" s="46" t="e">
        <f>bdrateOld($D207:$D210,G207:G210,$L207:$L210,O207:O210)</f>
        <v>#VALUE!</v>
      </c>
    </row>
    <row r="208" spans="1:25" x14ac:dyDescent="0.2">
      <c r="A208" s="24"/>
      <c r="B208" s="24"/>
      <c r="C208" s="24">
        <v>27</v>
      </c>
      <c r="D208" s="25"/>
      <c r="E208" s="26"/>
      <c r="F208" s="26"/>
      <c r="G208" s="26"/>
      <c r="H208" s="26"/>
      <c r="I208" s="26"/>
      <c r="J208" s="27">
        <f t="shared" si="6"/>
        <v>0</v>
      </c>
      <c r="L208" s="25"/>
      <c r="M208" s="26"/>
      <c r="N208" s="26"/>
      <c r="O208" s="26"/>
      <c r="P208" s="26"/>
      <c r="Q208" s="26"/>
      <c r="R208" s="27">
        <f t="shared" si="7"/>
        <v>0</v>
      </c>
      <c r="S208" s="20"/>
      <c r="T208" s="31"/>
      <c r="U208" s="32"/>
      <c r="V208" s="32"/>
      <c r="W208" s="31"/>
      <c r="X208" s="32"/>
      <c r="Y208" s="33"/>
    </row>
    <row r="209" spans="1:25" x14ac:dyDescent="0.2">
      <c r="A209" s="24"/>
      <c r="B209" s="24"/>
      <c r="C209" s="24">
        <v>32</v>
      </c>
      <c r="D209" s="25"/>
      <c r="E209" s="26"/>
      <c r="F209" s="26"/>
      <c r="G209" s="26"/>
      <c r="H209" s="26"/>
      <c r="I209" s="26"/>
      <c r="J209" s="27">
        <f t="shared" si="6"/>
        <v>0</v>
      </c>
      <c r="L209" s="25"/>
      <c r="M209" s="26"/>
      <c r="N209" s="26"/>
      <c r="O209" s="26"/>
      <c r="P209" s="26"/>
      <c r="Q209" s="26"/>
      <c r="R209" s="27">
        <f t="shared" si="7"/>
        <v>0</v>
      </c>
      <c r="S209" s="20"/>
      <c r="T209" s="31"/>
      <c r="U209" s="32"/>
      <c r="V209" s="32"/>
      <c r="W209" s="31"/>
      <c r="X209" s="32"/>
      <c r="Y209" s="33"/>
    </row>
    <row r="210" spans="1:25" ht="12.75" thickBot="1" x14ac:dyDescent="0.25">
      <c r="A210" s="34"/>
      <c r="B210" s="34"/>
      <c r="C210" s="34">
        <v>37</v>
      </c>
      <c r="D210" s="35"/>
      <c r="E210" s="36"/>
      <c r="F210" s="36"/>
      <c r="G210" s="36"/>
      <c r="H210" s="36"/>
      <c r="I210" s="36"/>
      <c r="J210" s="37">
        <f t="shared" si="6"/>
        <v>0</v>
      </c>
      <c r="L210" s="35"/>
      <c r="M210" s="36"/>
      <c r="N210" s="36"/>
      <c r="O210" s="36"/>
      <c r="P210" s="36"/>
      <c r="Q210" s="36"/>
      <c r="R210" s="37">
        <f t="shared" si="7"/>
        <v>0</v>
      </c>
      <c r="S210" s="20"/>
      <c r="T210" s="41"/>
      <c r="U210" s="42"/>
      <c r="V210" s="42"/>
      <c r="W210" s="41"/>
      <c r="X210" s="42"/>
      <c r="Y210" s="43"/>
    </row>
    <row r="211" spans="1:25" x14ac:dyDescent="0.2">
      <c r="A211" s="13" t="s">
        <v>121</v>
      </c>
      <c r="B211" s="13" t="s">
        <v>109</v>
      </c>
      <c r="C211" s="13">
        <v>22</v>
      </c>
      <c r="D211" s="17">
        <v>165.2</v>
      </c>
      <c r="E211" s="18">
        <v>52.878514000000003</v>
      </c>
      <c r="F211" s="18">
        <v>47.414278000000003</v>
      </c>
      <c r="G211" s="18">
        <v>47.449634000000003</v>
      </c>
      <c r="H211" s="18">
        <v>48.613652000000002</v>
      </c>
      <c r="I211" s="18"/>
      <c r="J211" s="16">
        <f>H211/3600</f>
        <v>1.3503792222222222E-2</v>
      </c>
      <c r="L211" s="17"/>
      <c r="M211" s="18"/>
      <c r="N211" s="18"/>
      <c r="O211" s="18"/>
      <c r="P211" s="18"/>
      <c r="Q211" s="18"/>
      <c r="R211" s="19">
        <f>P211/3600</f>
        <v>0</v>
      </c>
      <c r="S211" s="20"/>
      <c r="T211" s="21" t="e">
        <f>bdrate($D211:$D214,E211:E214,$L211:$L214,M211:M214)</f>
        <v>#VALUE!</v>
      </c>
      <c r="U211" s="22" t="e">
        <f>bdrate($D211:$D214,F211:F214,$L211:$L214,N211:N214)</f>
        <v>#VALUE!</v>
      </c>
      <c r="V211" s="23" t="e">
        <f>bdrate($D211:$D214,G211:G214,$L211:$L214,O211:O214)</f>
        <v>#VALUE!</v>
      </c>
      <c r="W211" s="21" t="e">
        <f>bdrateOld($D211:$D214,E211:E214,$L211:$L214,M211:M214)</f>
        <v>#VALUE!</v>
      </c>
      <c r="X211" s="22" t="e">
        <f>bdrateOld($D211:$D214,F211:F214,$L211:$L214,N211:N214)</f>
        <v>#VALUE!</v>
      </c>
      <c r="Y211" s="23" t="e">
        <f>bdrateOld($D211:$D214,G211:G214,$L211:$L214,O211:O214)</f>
        <v>#VALUE!</v>
      </c>
    </row>
    <row r="212" spans="1:25" x14ac:dyDescent="0.2">
      <c r="A212" s="24"/>
      <c r="B212" s="24" t="s">
        <v>110</v>
      </c>
      <c r="C212" s="24">
        <v>27</v>
      </c>
      <c r="D212" s="28">
        <v>50.152000000000001</v>
      </c>
      <c r="E212" s="29">
        <v>52.380032</v>
      </c>
      <c r="F212" s="29">
        <v>47.144900999999997</v>
      </c>
      <c r="G212" s="29">
        <v>47.170544999999997</v>
      </c>
      <c r="H212" s="29">
        <v>48.310794999999999</v>
      </c>
      <c r="I212" s="29"/>
      <c r="J212" s="27">
        <f t="shared" ref="J212:J262" si="8">H212/3600</f>
        <v>1.3419665277777777E-2</v>
      </c>
      <c r="L212" s="28"/>
      <c r="M212" s="29"/>
      <c r="N212" s="29"/>
      <c r="O212" s="29"/>
      <c r="P212" s="29"/>
      <c r="Q212" s="29"/>
      <c r="R212" s="30">
        <f t="shared" ref="R212:R262" si="9">P212/3600</f>
        <v>0</v>
      </c>
      <c r="S212" s="20"/>
      <c r="T212" s="31"/>
      <c r="U212" s="32"/>
      <c r="V212" s="33"/>
      <c r="W212" s="31"/>
      <c r="X212" s="32"/>
      <c r="Y212" s="33"/>
    </row>
    <row r="213" spans="1:25" x14ac:dyDescent="0.2">
      <c r="A213" s="24"/>
      <c r="B213" s="24"/>
      <c r="C213" s="24">
        <v>32</v>
      </c>
      <c r="D213" s="28">
        <v>24.175999999999998</v>
      </c>
      <c r="E213" s="29">
        <v>51.475682999999997</v>
      </c>
      <c r="F213" s="29">
        <v>46.942002000000002</v>
      </c>
      <c r="G213" s="29">
        <v>46.946646999999999</v>
      </c>
      <c r="H213" s="29">
        <v>48.000681999999998</v>
      </c>
      <c r="I213" s="29"/>
      <c r="J213" s="27">
        <f t="shared" si="8"/>
        <v>1.3333522777777777E-2</v>
      </c>
      <c r="L213" s="28"/>
      <c r="M213" s="29"/>
      <c r="N213" s="29"/>
      <c r="O213" s="29"/>
      <c r="P213" s="29"/>
      <c r="Q213" s="29"/>
      <c r="R213" s="30">
        <f t="shared" si="9"/>
        <v>0</v>
      </c>
      <c r="S213" s="20"/>
      <c r="T213" s="31"/>
      <c r="U213" s="32"/>
      <c r="V213" s="33"/>
      <c r="W213" s="31"/>
      <c r="X213" s="32"/>
      <c r="Y213" s="33"/>
    </row>
    <row r="214" spans="1:25" ht="12.75" thickBot="1" x14ac:dyDescent="0.25">
      <c r="A214" s="24"/>
      <c r="B214" s="34"/>
      <c r="C214" s="34">
        <v>37</v>
      </c>
      <c r="D214" s="38">
        <v>9.44</v>
      </c>
      <c r="E214" s="39">
        <v>49.466875999999999</v>
      </c>
      <c r="F214" s="39">
        <v>46.579034999999998</v>
      </c>
      <c r="G214" s="39">
        <v>46.580703999999997</v>
      </c>
      <c r="H214" s="39">
        <v>47.346741000000002</v>
      </c>
      <c r="I214" s="39"/>
      <c r="J214" s="37">
        <f t="shared" si="8"/>
        <v>1.31518725E-2</v>
      </c>
      <c r="L214" s="38"/>
      <c r="M214" s="39"/>
      <c r="N214" s="39"/>
      <c r="O214" s="39"/>
      <c r="P214" s="39"/>
      <c r="Q214" s="39"/>
      <c r="R214" s="40">
        <f t="shared" si="9"/>
        <v>0</v>
      </c>
      <c r="S214" s="20"/>
      <c r="T214" s="41"/>
      <c r="U214" s="42"/>
      <c r="V214" s="43"/>
      <c r="W214" s="41"/>
      <c r="X214" s="42"/>
      <c r="Y214" s="43"/>
    </row>
    <row r="215" spans="1:25" x14ac:dyDescent="0.2">
      <c r="A215" s="24"/>
      <c r="B215" s="13" t="s">
        <v>111</v>
      </c>
      <c r="C215" s="13">
        <v>22</v>
      </c>
      <c r="D215" s="17">
        <v>1522.3040000000001</v>
      </c>
      <c r="E215" s="18">
        <v>49.677478999999998</v>
      </c>
      <c r="F215" s="18">
        <v>45.237198999999997</v>
      </c>
      <c r="G215" s="18">
        <v>45.347060999999997</v>
      </c>
      <c r="H215" s="18">
        <v>46.326014000000001</v>
      </c>
      <c r="I215" s="18"/>
      <c r="J215" s="16">
        <f t="shared" si="8"/>
        <v>1.2868337222222222E-2</v>
      </c>
      <c r="L215" s="17"/>
      <c r="M215" s="18"/>
      <c r="N215" s="18"/>
      <c r="O215" s="18"/>
      <c r="P215" s="18"/>
      <c r="Q215" s="18"/>
      <c r="R215" s="19">
        <f t="shared" si="9"/>
        <v>0</v>
      </c>
      <c r="S215" s="20"/>
      <c r="T215" s="21" t="e">
        <f>bdrate($D215:$D218,E215:E218,$L215:$L218,M215:M218)</f>
        <v>#VALUE!</v>
      </c>
      <c r="U215" s="22" t="e">
        <f>bdrate($D215:$D218,F215:F218,$L215:$L218,N215:N218)</f>
        <v>#VALUE!</v>
      </c>
      <c r="V215" s="22" t="e">
        <f>bdrate($D215:$D218,G215:G218,$L215:$L218,O215:O218)</f>
        <v>#VALUE!</v>
      </c>
      <c r="W215" s="44" t="e">
        <f>bdrateOld($D215:$D218,E215:E218,$L215:$L218,M215:M218)</f>
        <v>#VALUE!</v>
      </c>
      <c r="X215" s="45" t="e">
        <f>bdrateOld($D215:$D218,F215:F218,$L215:$L218,N215:N218)</f>
        <v>#VALUE!</v>
      </c>
      <c r="Y215" s="46" t="e">
        <f>bdrateOld($D215:$D218,G215:G218,$L215:$L218,O215:O218)</f>
        <v>#VALUE!</v>
      </c>
    </row>
    <row r="216" spans="1:25" x14ac:dyDescent="0.2">
      <c r="A216" s="24"/>
      <c r="B216" s="24"/>
      <c r="C216" s="24">
        <v>27</v>
      </c>
      <c r="D216" s="28">
        <v>426.56</v>
      </c>
      <c r="E216" s="29">
        <v>48.703690000000002</v>
      </c>
      <c r="F216" s="29">
        <v>43.277360000000002</v>
      </c>
      <c r="G216" s="29">
        <v>43.412537999999998</v>
      </c>
      <c r="H216" s="29">
        <v>44.515155999999998</v>
      </c>
      <c r="I216" s="29"/>
      <c r="J216" s="27">
        <f t="shared" si="8"/>
        <v>1.236532111111111E-2</v>
      </c>
      <c r="L216" s="28"/>
      <c r="M216" s="29"/>
      <c r="N216" s="29"/>
      <c r="O216" s="29"/>
      <c r="P216" s="29"/>
      <c r="Q216" s="29"/>
      <c r="R216" s="30">
        <f t="shared" si="9"/>
        <v>0</v>
      </c>
      <c r="S216" s="20"/>
      <c r="T216" s="31"/>
      <c r="U216" s="32"/>
      <c r="V216" s="32"/>
      <c r="W216" s="31"/>
      <c r="X216" s="32"/>
      <c r="Y216" s="33"/>
    </row>
    <row r="217" spans="1:25" x14ac:dyDescent="0.2">
      <c r="A217" s="24"/>
      <c r="B217" s="24"/>
      <c r="C217" s="24">
        <v>32</v>
      </c>
      <c r="D217" s="28">
        <v>183.55199999999999</v>
      </c>
      <c r="E217" s="29">
        <v>47.351928000000001</v>
      </c>
      <c r="F217" s="29">
        <v>42.245325000000001</v>
      </c>
      <c r="G217" s="29">
        <v>42.518611999999997</v>
      </c>
      <c r="H217" s="29">
        <v>43.499400999999999</v>
      </c>
      <c r="I217" s="29"/>
      <c r="J217" s="27">
        <f t="shared" si="8"/>
        <v>1.2083166944444444E-2</v>
      </c>
      <c r="L217" s="28"/>
      <c r="M217" s="29"/>
      <c r="N217" s="29"/>
      <c r="O217" s="29"/>
      <c r="P217" s="29"/>
      <c r="Q217" s="29"/>
      <c r="R217" s="30">
        <f t="shared" si="9"/>
        <v>0</v>
      </c>
      <c r="S217" s="20"/>
      <c r="T217" s="31"/>
      <c r="U217" s="47"/>
      <c r="V217" s="32"/>
      <c r="W217" s="31"/>
      <c r="X217" s="32"/>
      <c r="Y217" s="33"/>
    </row>
    <row r="218" spans="1:25" ht="12.75" thickBot="1" x14ac:dyDescent="0.25">
      <c r="A218" s="24"/>
      <c r="B218" s="34"/>
      <c r="C218" s="34">
        <v>37</v>
      </c>
      <c r="D218" s="38">
        <v>100.464</v>
      </c>
      <c r="E218" s="39">
        <v>45.435313000000001</v>
      </c>
      <c r="F218" s="39">
        <v>41.074325000000002</v>
      </c>
      <c r="G218" s="39">
        <v>41.514232999999997</v>
      </c>
      <c r="H218" s="39">
        <v>42.285235</v>
      </c>
      <c r="I218" s="39"/>
      <c r="J218" s="37">
        <f t="shared" si="8"/>
        <v>1.1745898611111111E-2</v>
      </c>
      <c r="L218" s="38"/>
      <c r="M218" s="39"/>
      <c r="N218" s="39"/>
      <c r="O218" s="39"/>
      <c r="P218" s="39"/>
      <c r="Q218" s="39"/>
      <c r="R218" s="40">
        <f t="shared" si="9"/>
        <v>0</v>
      </c>
      <c r="S218" s="20"/>
      <c r="T218" s="41"/>
      <c r="U218" s="42"/>
      <c r="V218" s="42"/>
      <c r="W218" s="41"/>
      <c r="X218" s="42"/>
      <c r="Y218" s="43"/>
    </row>
    <row r="219" spans="1:25" x14ac:dyDescent="0.2">
      <c r="A219" s="118"/>
      <c r="B219" s="117" t="s">
        <v>112</v>
      </c>
      <c r="C219" s="117">
        <v>22</v>
      </c>
      <c r="D219" s="17">
        <v>766.86400000000003</v>
      </c>
      <c r="E219" s="18">
        <v>54.148727999999998</v>
      </c>
      <c r="F219" s="18">
        <v>524.81669899999997</v>
      </c>
      <c r="G219" s="18">
        <v>525.34113300000001</v>
      </c>
      <c r="H219" s="18">
        <v>53.447622000000003</v>
      </c>
      <c r="I219" s="18"/>
      <c r="J219" s="16">
        <f t="shared" si="8"/>
        <v>1.4846561666666667E-2</v>
      </c>
      <c r="L219" s="14">
        <v>379.69600000000003</v>
      </c>
      <c r="M219" s="15">
        <v>53.563415999999997</v>
      </c>
      <c r="N219" s="15">
        <v>523.57842900000003</v>
      </c>
      <c r="O219" s="15">
        <v>524.46908599999995</v>
      </c>
      <c r="P219" s="15">
        <v>51.643464999999999</v>
      </c>
      <c r="Q219" s="18"/>
      <c r="R219" s="19">
        <f t="shared" si="9"/>
        <v>1.4345406944444444E-2</v>
      </c>
      <c r="S219" s="20"/>
      <c r="T219" s="21">
        <f>bdrate($D219:$D222,E219:E222,$L219:$L222,M219:M222)</f>
        <v>-0.1820920754248091</v>
      </c>
      <c r="U219" s="22">
        <f>bdrate($D219:$D222,F219:F222,$L219:$L222,N219:N222)</f>
        <v>0.30037776086808665</v>
      </c>
      <c r="V219" s="22">
        <f>bdrate($D219:$D222,G219:G222,$L219:$L222,O219:O222)</f>
        <v>0.36895706308483178</v>
      </c>
      <c r="W219" s="44">
        <f>bdrateOld($D219:$D222,E219:E222,$L219:$L222,M219:M222)</f>
        <v>-0.18280182003240375</v>
      </c>
      <c r="X219" s="45">
        <f>bdrateOld($D219:$D222,F219:F222,$L219:$L222,N219:N222)</f>
        <v>0.64004433679048067</v>
      </c>
      <c r="Y219" s="46">
        <f>bdrateOld($D219:$D222,G219:G222,$L219:$L222,O219:O222)</f>
        <v>31.852447376812044</v>
      </c>
    </row>
    <row r="220" spans="1:25" x14ac:dyDescent="0.2">
      <c r="A220" s="118"/>
      <c r="B220" s="118"/>
      <c r="C220" s="118">
        <v>27</v>
      </c>
      <c r="D220" s="28">
        <v>309.89600000000002</v>
      </c>
      <c r="E220" s="29">
        <v>52.577952000000003</v>
      </c>
      <c r="F220" s="29">
        <v>523.53878599999996</v>
      </c>
      <c r="G220" s="29">
        <v>524.455421</v>
      </c>
      <c r="H220" s="29">
        <v>51.402093999999998</v>
      </c>
      <c r="I220" s="29"/>
      <c r="J220" s="27">
        <f t="shared" si="8"/>
        <v>1.4278359444444444E-2</v>
      </c>
      <c r="L220" s="25">
        <v>144.68</v>
      </c>
      <c r="M220" s="26">
        <v>51.525008</v>
      </c>
      <c r="N220" s="26">
        <v>522.34387200000003</v>
      </c>
      <c r="O220" s="26">
        <v>523.80270700000005</v>
      </c>
      <c r="P220" s="26">
        <v>49.582276999999998</v>
      </c>
      <c r="Q220" s="29"/>
      <c r="R220" s="30">
        <f t="shared" si="9"/>
        <v>1.3772854722222222E-2</v>
      </c>
      <c r="S220" s="20"/>
      <c r="T220" s="31"/>
      <c r="U220" s="32"/>
      <c r="V220" s="32"/>
      <c r="W220" s="31"/>
      <c r="X220" s="32"/>
      <c r="Y220" s="33"/>
    </row>
    <row r="221" spans="1:25" x14ac:dyDescent="0.2">
      <c r="A221" s="118"/>
      <c r="B221" s="118" t="s">
        <v>126</v>
      </c>
      <c r="C221" s="118">
        <v>32</v>
      </c>
      <c r="D221" s="28">
        <v>128.56</v>
      </c>
      <c r="E221" s="29">
        <v>50.675201000000001</v>
      </c>
      <c r="F221" s="29">
        <v>522.56377599999996</v>
      </c>
      <c r="G221" s="29">
        <v>523.92440799999997</v>
      </c>
      <c r="H221" s="29">
        <v>49.710856999999997</v>
      </c>
      <c r="I221" s="29"/>
      <c r="J221" s="27">
        <f t="shared" si="8"/>
        <v>1.3808571388888888E-2</v>
      </c>
      <c r="L221" s="25">
        <v>69.72</v>
      </c>
      <c r="M221" s="26">
        <v>49.132314999999998</v>
      </c>
      <c r="N221" s="26">
        <v>67.064164000000005</v>
      </c>
      <c r="O221" s="26">
        <v>68.527278999999993</v>
      </c>
      <c r="P221" s="26">
        <v>47.698053000000002</v>
      </c>
      <c r="Q221" s="29"/>
      <c r="R221" s="30">
        <f t="shared" si="9"/>
        <v>1.3249459166666666E-2</v>
      </c>
      <c r="S221" s="20"/>
      <c r="T221" s="31"/>
      <c r="U221" s="32"/>
      <c r="V221" s="32"/>
      <c r="W221" s="31"/>
      <c r="X221" s="32"/>
      <c r="Y221" s="33"/>
    </row>
    <row r="222" spans="1:25" ht="12.75" thickBot="1" x14ac:dyDescent="0.25">
      <c r="A222" s="118"/>
      <c r="B222" s="119"/>
      <c r="C222" s="119">
        <v>37</v>
      </c>
      <c r="D222" s="38">
        <v>61.112000000000002</v>
      </c>
      <c r="E222" s="39">
        <v>48.252115000000003</v>
      </c>
      <c r="F222" s="39">
        <v>521.93794400000002</v>
      </c>
      <c r="G222" s="39">
        <v>523.42450899999994</v>
      </c>
      <c r="H222" s="39">
        <v>48.167735999999998</v>
      </c>
      <c r="I222" s="39"/>
      <c r="J222" s="37">
        <f t="shared" si="8"/>
        <v>1.3379926666666667E-2</v>
      </c>
      <c r="L222" s="35">
        <v>35.287999999999997</v>
      </c>
      <c r="M222" s="36">
        <v>46.317855999999999</v>
      </c>
      <c r="N222" s="36">
        <v>520.45877099999996</v>
      </c>
      <c r="O222" s="36">
        <v>521.64951399999995</v>
      </c>
      <c r="P222" s="36">
        <v>45.253886999999999</v>
      </c>
      <c r="Q222" s="39"/>
      <c r="R222" s="40">
        <f t="shared" si="9"/>
        <v>1.2570524166666666E-2</v>
      </c>
      <c r="S222" s="20"/>
      <c r="T222" s="41"/>
      <c r="U222" s="42"/>
      <c r="V222" s="42"/>
      <c r="W222" s="41"/>
      <c r="X222" s="42"/>
      <c r="Y222" s="43"/>
    </row>
    <row r="223" spans="1:25" x14ac:dyDescent="0.2">
      <c r="A223" s="118"/>
      <c r="B223" s="117" t="s">
        <v>113</v>
      </c>
      <c r="C223" s="117">
        <v>22</v>
      </c>
      <c r="D223" s="17">
        <v>766.86400000000003</v>
      </c>
      <c r="E223" s="18">
        <v>54.148727999999998</v>
      </c>
      <c r="F223" s="18">
        <v>524.81669899999997</v>
      </c>
      <c r="G223" s="18">
        <v>525.34113300000001</v>
      </c>
      <c r="H223" s="18">
        <v>53.447622000000003</v>
      </c>
      <c r="I223" s="18"/>
      <c r="J223" s="16">
        <f t="shared" si="8"/>
        <v>1.4846561666666667E-2</v>
      </c>
      <c r="L223" s="17"/>
      <c r="M223" s="18"/>
      <c r="N223" s="18"/>
      <c r="O223" s="18"/>
      <c r="P223" s="18"/>
      <c r="Q223" s="18"/>
      <c r="R223" s="19">
        <f t="shared" si="9"/>
        <v>0</v>
      </c>
      <c r="S223" s="20"/>
      <c r="T223" s="21" t="e">
        <f>bdrate($D223:$D226,E223:E226,$L223:$L226,M223:M226)</f>
        <v>#VALUE!</v>
      </c>
      <c r="U223" s="22" t="e">
        <f>bdrate($D223:$D226,F223:F226,$L223:$L226,N223:N226)</f>
        <v>#VALUE!</v>
      </c>
      <c r="V223" s="22" t="e">
        <f>bdrate($D223:$D226,G223:G226,$L223:$L226,O223:O226)</f>
        <v>#VALUE!</v>
      </c>
      <c r="W223" s="44" t="e">
        <f>bdrateOld($D223:$D226,E223:E226,$L223:$L226,M223:M226)</f>
        <v>#VALUE!</v>
      </c>
      <c r="X223" s="45" t="e">
        <f>bdrateOld($D223:$D226,F223:F226,$L223:$L226,N223:N226)</f>
        <v>#VALUE!</v>
      </c>
      <c r="Y223" s="46" t="e">
        <f>bdrateOld($D223:$D226,G223:G226,$L223:$L226,O223:O226)</f>
        <v>#VALUE!</v>
      </c>
    </row>
    <row r="224" spans="1:25" x14ac:dyDescent="0.2">
      <c r="A224" s="118"/>
      <c r="B224" s="118"/>
      <c r="C224" s="118">
        <v>27</v>
      </c>
      <c r="D224" s="28">
        <v>309.89600000000002</v>
      </c>
      <c r="E224" s="29">
        <v>52.577952000000003</v>
      </c>
      <c r="F224" s="29">
        <v>523.53878599999996</v>
      </c>
      <c r="G224" s="29">
        <v>524.455421</v>
      </c>
      <c r="H224" s="29">
        <v>51.402093999999998</v>
      </c>
      <c r="I224" s="29"/>
      <c r="J224" s="27">
        <f t="shared" si="8"/>
        <v>1.4278359444444444E-2</v>
      </c>
      <c r="L224" s="28"/>
      <c r="M224" s="29"/>
      <c r="N224" s="29"/>
      <c r="O224" s="29"/>
      <c r="P224" s="29"/>
      <c r="Q224" s="29"/>
      <c r="R224" s="30">
        <f t="shared" si="9"/>
        <v>0</v>
      </c>
      <c r="S224" s="20"/>
      <c r="T224" s="31"/>
      <c r="U224" s="32"/>
      <c r="V224" s="32"/>
      <c r="W224" s="31"/>
      <c r="X224" s="32"/>
      <c r="Y224" s="33"/>
    </row>
    <row r="225" spans="1:25" x14ac:dyDescent="0.2">
      <c r="A225" s="118"/>
      <c r="B225" s="118" t="s">
        <v>126</v>
      </c>
      <c r="C225" s="118">
        <v>32</v>
      </c>
      <c r="D225" s="28">
        <v>128.56</v>
      </c>
      <c r="E225" s="29">
        <v>50.675201000000001</v>
      </c>
      <c r="F225" s="29">
        <v>522.56377599999996</v>
      </c>
      <c r="G225" s="29">
        <v>523.92440799999997</v>
      </c>
      <c r="H225" s="29">
        <v>49.710856999999997</v>
      </c>
      <c r="I225" s="29"/>
      <c r="J225" s="27">
        <f t="shared" si="8"/>
        <v>1.3808571388888888E-2</v>
      </c>
      <c r="L225" s="28"/>
      <c r="M225" s="29"/>
      <c r="N225" s="29"/>
      <c r="O225" s="29"/>
      <c r="P225" s="29"/>
      <c r="Q225" s="29"/>
      <c r="R225" s="30">
        <f t="shared" si="9"/>
        <v>0</v>
      </c>
      <c r="S225" s="20"/>
      <c r="T225" s="31"/>
      <c r="U225" s="32"/>
      <c r="V225" s="32"/>
      <c r="W225" s="31"/>
      <c r="X225" s="32"/>
      <c r="Y225" s="33"/>
    </row>
    <row r="226" spans="1:25" ht="12.75" thickBot="1" x14ac:dyDescent="0.25">
      <c r="A226" s="118"/>
      <c r="B226" s="119"/>
      <c r="C226" s="119">
        <v>37</v>
      </c>
      <c r="D226" s="38">
        <v>61.112000000000002</v>
      </c>
      <c r="E226" s="39">
        <v>48.252115000000003</v>
      </c>
      <c r="F226" s="39">
        <v>521.93794400000002</v>
      </c>
      <c r="G226" s="39">
        <v>523.42450899999994</v>
      </c>
      <c r="H226" s="39">
        <v>48.167735999999998</v>
      </c>
      <c r="I226" s="39"/>
      <c r="J226" s="37">
        <f t="shared" si="8"/>
        <v>1.3379926666666667E-2</v>
      </c>
      <c r="L226" s="38"/>
      <c r="M226" s="39"/>
      <c r="N226" s="39"/>
      <c r="O226" s="39"/>
      <c r="P226" s="39"/>
      <c r="Q226" s="39"/>
      <c r="R226" s="40">
        <f t="shared" si="9"/>
        <v>0</v>
      </c>
      <c r="S226" s="20"/>
      <c r="T226" s="41"/>
      <c r="U226" s="42"/>
      <c r="V226" s="42"/>
      <c r="W226" s="41"/>
      <c r="X226" s="42"/>
      <c r="Y226" s="43"/>
    </row>
    <row r="227" spans="1:25" x14ac:dyDescent="0.2">
      <c r="A227" s="24"/>
      <c r="B227" s="13" t="s">
        <v>115</v>
      </c>
      <c r="C227" s="13">
        <v>22</v>
      </c>
      <c r="D227" s="14">
        <v>110.47199999999999</v>
      </c>
      <c r="E227" s="15">
        <v>54.680326999999998</v>
      </c>
      <c r="F227" s="15"/>
      <c r="G227" s="15"/>
      <c r="H227" s="15"/>
      <c r="I227" s="15"/>
      <c r="J227" s="16">
        <f t="shared" si="8"/>
        <v>0</v>
      </c>
      <c r="L227" s="14"/>
      <c r="M227" s="15"/>
      <c r="N227" s="15"/>
      <c r="O227" s="15"/>
      <c r="P227" s="15"/>
      <c r="Q227" s="15"/>
      <c r="R227" s="16">
        <f t="shared" si="9"/>
        <v>0</v>
      </c>
      <c r="S227" s="20"/>
      <c r="T227" s="21" t="e">
        <f>bdrate($D227:$D230,E227:E230,$L227:$L230,M227:M230)</f>
        <v>#VALUE!</v>
      </c>
      <c r="U227" s="22" t="e">
        <f>bdrate($D227:$D230,F227:F230,$L227:$L230,N227:N230)</f>
        <v>#VALUE!</v>
      </c>
      <c r="V227" s="22" t="e">
        <f>bdrate($D227:$D230,G227:G230,$L227:$L230,O227:O230)</f>
        <v>#VALUE!</v>
      </c>
      <c r="W227" s="44" t="e">
        <f>bdrateOld($D227:$D230,E227:E230,$L227:$L230,M227:M230)</f>
        <v>#VALUE!</v>
      </c>
      <c r="X227" s="45" t="e">
        <f>bdrateOld($D227:$D230,F227:F230,$L227:$L230,N227:N230)</f>
        <v>#VALUE!</v>
      </c>
      <c r="Y227" s="46" t="e">
        <f>bdrateOld($D227:$D230,G227:G230,$L227:$L230,O227:O230)</f>
        <v>#VALUE!</v>
      </c>
    </row>
    <row r="228" spans="1:25" x14ac:dyDescent="0.2">
      <c r="A228" s="24"/>
      <c r="B228" s="24" t="s">
        <v>114</v>
      </c>
      <c r="C228" s="24">
        <v>27</v>
      </c>
      <c r="D228" s="25">
        <v>66.768000000000001</v>
      </c>
      <c r="E228" s="26">
        <v>52.875328000000003</v>
      </c>
      <c r="F228" s="26"/>
      <c r="G228" s="26"/>
      <c r="H228" s="26"/>
      <c r="I228" s="26"/>
      <c r="J228" s="27">
        <f t="shared" si="8"/>
        <v>0</v>
      </c>
      <c r="L228" s="25"/>
      <c r="M228" s="26"/>
      <c r="N228" s="26"/>
      <c r="O228" s="26"/>
      <c r="P228" s="26"/>
      <c r="Q228" s="26"/>
      <c r="R228" s="27">
        <f t="shared" si="9"/>
        <v>0</v>
      </c>
      <c r="S228" s="20"/>
      <c r="T228" s="31"/>
      <c r="U228" s="32"/>
      <c r="V228" s="32"/>
      <c r="W228" s="31"/>
      <c r="X228" s="32"/>
      <c r="Y228" s="33"/>
    </row>
    <row r="229" spans="1:25" x14ac:dyDescent="0.2">
      <c r="A229" s="24"/>
      <c r="B229" s="24"/>
      <c r="C229" s="24">
        <v>32</v>
      </c>
      <c r="D229" s="25">
        <v>40.368000000000002</v>
      </c>
      <c r="E229" s="26">
        <v>50.643385000000002</v>
      </c>
      <c r="F229" s="26"/>
      <c r="G229" s="26"/>
      <c r="H229" s="26"/>
      <c r="I229" s="26"/>
      <c r="J229" s="27">
        <f t="shared" si="8"/>
        <v>0</v>
      </c>
      <c r="L229" s="25"/>
      <c r="M229" s="26"/>
      <c r="N229" s="26"/>
      <c r="O229" s="26"/>
      <c r="P229" s="26"/>
      <c r="Q229" s="26"/>
      <c r="R229" s="27">
        <f t="shared" si="9"/>
        <v>0</v>
      </c>
      <c r="S229" s="20"/>
      <c r="T229" s="31"/>
      <c r="U229" s="32"/>
      <c r="V229" s="32"/>
      <c r="W229" s="31"/>
      <c r="X229" s="32"/>
      <c r="Y229" s="33"/>
    </row>
    <row r="230" spans="1:25" ht="12.75" thickBot="1" x14ac:dyDescent="0.25">
      <c r="A230" s="24"/>
      <c r="B230" s="34"/>
      <c r="C230" s="34">
        <v>37</v>
      </c>
      <c r="D230" s="35">
        <v>24.128</v>
      </c>
      <c r="E230" s="36">
        <v>48.087591000000003</v>
      </c>
      <c r="F230" s="36"/>
      <c r="G230" s="36"/>
      <c r="H230" s="36"/>
      <c r="I230" s="36"/>
      <c r="J230" s="37">
        <f t="shared" si="8"/>
        <v>0</v>
      </c>
      <c r="L230" s="35"/>
      <c r="M230" s="36"/>
      <c r="N230" s="36"/>
      <c r="O230" s="36"/>
      <c r="P230" s="36"/>
      <c r="Q230" s="36"/>
      <c r="R230" s="37">
        <f t="shared" si="9"/>
        <v>0</v>
      </c>
      <c r="S230" s="20"/>
      <c r="T230" s="41"/>
      <c r="U230" s="42"/>
      <c r="V230" s="42"/>
      <c r="W230" s="41"/>
      <c r="X230" s="42"/>
      <c r="Y230" s="43"/>
    </row>
    <row r="231" spans="1:25" x14ac:dyDescent="0.2">
      <c r="A231" s="24"/>
      <c r="B231" s="13" t="s">
        <v>109</v>
      </c>
      <c r="C231" s="13">
        <v>22</v>
      </c>
      <c r="D231" s="14">
        <v>648.67999999999995</v>
      </c>
      <c r="E231" s="15">
        <v>53.654823999999998</v>
      </c>
      <c r="F231" s="15">
        <v>49.643399000000002</v>
      </c>
      <c r="G231" s="15">
        <v>50.692265999999996</v>
      </c>
      <c r="H231" s="15">
        <v>51.025064999999998</v>
      </c>
      <c r="I231" s="15"/>
      <c r="J231" s="16">
        <f t="shared" si="8"/>
        <v>1.4173629166666667E-2</v>
      </c>
      <c r="L231" s="14"/>
      <c r="M231" s="15"/>
      <c r="N231" s="15"/>
      <c r="O231" s="15"/>
      <c r="P231" s="15"/>
      <c r="Q231" s="15"/>
      <c r="R231" s="16">
        <f t="shared" si="9"/>
        <v>0</v>
      </c>
      <c r="S231" s="20"/>
      <c r="T231" s="21" t="e">
        <f>bdrate($D231:$D234,E231:E234,$L231:$L234,M231:M234)</f>
        <v>#VALUE!</v>
      </c>
      <c r="U231" s="22" t="e">
        <f>bdrate($D231:$D234,F231:F234,$L231:$L234,N231:N234)</f>
        <v>#VALUE!</v>
      </c>
      <c r="V231" s="22" t="e">
        <f>bdrate($D231:$D234,G231:G234,$L231:$L234,O231:O234)</f>
        <v>#VALUE!</v>
      </c>
      <c r="W231" s="44" t="e">
        <f>bdrateOld($D231:$D234,E231:E234,$L231:$L234,M231:M234)</f>
        <v>#VALUE!</v>
      </c>
      <c r="X231" s="45" t="e">
        <f>bdrateOld($D231:$D234,F231:F234,$L231:$L234,N231:N234)</f>
        <v>#VALUE!</v>
      </c>
      <c r="Y231" s="46" t="e">
        <f>bdrateOld($D231:$D234,G231:G234,$L231:$L234,O231:O234)</f>
        <v>#VALUE!</v>
      </c>
    </row>
    <row r="232" spans="1:25" x14ac:dyDescent="0.2">
      <c r="A232" s="24"/>
      <c r="B232" s="24" t="s">
        <v>114</v>
      </c>
      <c r="C232" s="24">
        <v>27</v>
      </c>
      <c r="D232" s="25">
        <v>242.63200000000001</v>
      </c>
      <c r="E232" s="26">
        <v>52.295887999999998</v>
      </c>
      <c r="F232" s="26">
        <v>47.087572999999999</v>
      </c>
      <c r="G232" s="26">
        <v>48.920842</v>
      </c>
      <c r="H232" s="26">
        <v>48.942723999999998</v>
      </c>
      <c r="I232" s="26"/>
      <c r="J232" s="27">
        <f t="shared" si="8"/>
        <v>1.3595201111111111E-2</v>
      </c>
      <c r="L232" s="25"/>
      <c r="M232" s="26"/>
      <c r="N232" s="26"/>
      <c r="O232" s="26"/>
      <c r="P232" s="26"/>
      <c r="Q232" s="26"/>
      <c r="R232" s="27">
        <f t="shared" si="9"/>
        <v>0</v>
      </c>
      <c r="S232" s="20"/>
      <c r="T232" s="31"/>
      <c r="U232" s="32"/>
      <c r="V232" s="32"/>
      <c r="W232" s="31"/>
      <c r="X232" s="32"/>
      <c r="Y232" s="33"/>
    </row>
    <row r="233" spans="1:25" x14ac:dyDescent="0.2">
      <c r="A233" s="24"/>
      <c r="B233" s="24"/>
      <c r="C233" s="24">
        <v>32</v>
      </c>
      <c r="D233" s="25">
        <v>87.775999999999996</v>
      </c>
      <c r="E233" s="26">
        <v>50.718902999999997</v>
      </c>
      <c r="F233" s="26">
        <v>45.137551000000002</v>
      </c>
      <c r="G233" s="26">
        <v>47.858815999999997</v>
      </c>
      <c r="H233" s="26">
        <v>47.329538999999997</v>
      </c>
      <c r="I233" s="26"/>
      <c r="J233" s="27">
        <f t="shared" si="8"/>
        <v>1.3147094166666666E-2</v>
      </c>
      <c r="L233" s="25"/>
      <c r="M233" s="26"/>
      <c r="N233" s="26"/>
      <c r="O233" s="26"/>
      <c r="P233" s="26"/>
      <c r="Q233" s="26"/>
      <c r="R233" s="27">
        <f t="shared" si="9"/>
        <v>0</v>
      </c>
      <c r="S233" s="20"/>
      <c r="T233" s="31"/>
      <c r="U233" s="32"/>
      <c r="V233" s="32"/>
      <c r="W233" s="31"/>
      <c r="X233" s="32"/>
      <c r="Y233" s="33"/>
    </row>
    <row r="234" spans="1:25" ht="12.75" thickBot="1" x14ac:dyDescent="0.25">
      <c r="A234" s="24"/>
      <c r="B234" s="34"/>
      <c r="C234" s="34">
        <v>37</v>
      </c>
      <c r="D234" s="35">
        <v>37.384</v>
      </c>
      <c r="E234" s="36">
        <v>48.605575999999999</v>
      </c>
      <c r="F234" s="36">
        <v>43.885886999999997</v>
      </c>
      <c r="G234" s="36">
        <v>46.859017000000001</v>
      </c>
      <c r="H234" s="36">
        <v>46.005125</v>
      </c>
      <c r="I234" s="36"/>
      <c r="J234" s="37">
        <f t="shared" si="8"/>
        <v>1.2779201388888889E-2</v>
      </c>
      <c r="L234" s="35"/>
      <c r="M234" s="36"/>
      <c r="N234" s="36"/>
      <c r="O234" s="36"/>
      <c r="P234" s="36"/>
      <c r="Q234" s="36"/>
      <c r="R234" s="37">
        <f t="shared" si="9"/>
        <v>0</v>
      </c>
      <c r="S234" s="20"/>
      <c r="T234" s="41"/>
      <c r="U234" s="42"/>
      <c r="V234" s="42"/>
      <c r="W234" s="41"/>
      <c r="X234" s="42"/>
      <c r="Y234" s="43"/>
    </row>
    <row r="235" spans="1:25" x14ac:dyDescent="0.2">
      <c r="A235" s="24"/>
      <c r="B235" s="13" t="s">
        <v>112</v>
      </c>
      <c r="C235" s="13">
        <v>22</v>
      </c>
      <c r="D235" s="14">
        <v>379.69600000000003</v>
      </c>
      <c r="E235" s="15">
        <v>53.563415999999997</v>
      </c>
      <c r="F235" s="15">
        <v>523.57842900000003</v>
      </c>
      <c r="G235" s="15">
        <v>524.46908599999995</v>
      </c>
      <c r="H235" s="15">
        <v>51.643464999999999</v>
      </c>
      <c r="I235" s="15"/>
      <c r="J235" s="16">
        <f t="shared" si="8"/>
        <v>1.4345406944444444E-2</v>
      </c>
      <c r="L235" s="14"/>
      <c r="M235" s="15"/>
      <c r="N235" s="15"/>
      <c r="O235" s="15"/>
      <c r="P235" s="15"/>
      <c r="Q235" s="15"/>
      <c r="R235" s="16">
        <f t="shared" si="9"/>
        <v>0</v>
      </c>
      <c r="S235" s="20"/>
      <c r="T235" s="21" t="e">
        <f>bdrate($D235:$D238,E235:E238,$L235:$L238,M235:M238)</f>
        <v>#VALUE!</v>
      </c>
      <c r="U235" s="22" t="e">
        <f>bdrate($D235:$D238,F235:F238,$L235:$L238,N235:N238)</f>
        <v>#VALUE!</v>
      </c>
      <c r="V235" s="22" t="e">
        <f>bdrate($D235:$D238,G235:G238,$L235:$L238,O235:O238)</f>
        <v>#VALUE!</v>
      </c>
      <c r="W235" s="44" t="e">
        <f>bdrateOld($D235:$D238,E235:E238,$L235:$L238,M235:M238)</f>
        <v>#VALUE!</v>
      </c>
      <c r="X235" s="45" t="e">
        <f>bdrateOld($D235:$D238,F235:F238,$L235:$L238,N235:N238)</f>
        <v>#VALUE!</v>
      </c>
      <c r="Y235" s="46" t="e">
        <f>bdrateOld($D235:$D238,G235:G238,$L235:$L238,O235:O238)</f>
        <v>#VALUE!</v>
      </c>
    </row>
    <row r="236" spans="1:25" x14ac:dyDescent="0.2">
      <c r="A236" s="24"/>
      <c r="B236" s="24"/>
      <c r="C236" s="24">
        <v>27</v>
      </c>
      <c r="D236" s="25">
        <v>144.68</v>
      </c>
      <c r="E236" s="26">
        <v>51.525008</v>
      </c>
      <c r="F236" s="26">
        <v>522.34387200000003</v>
      </c>
      <c r="G236" s="26">
        <v>523.80270700000005</v>
      </c>
      <c r="H236" s="26">
        <v>49.582276999999998</v>
      </c>
      <c r="I236" s="26"/>
      <c r="J236" s="27">
        <f t="shared" si="8"/>
        <v>1.3772854722222222E-2</v>
      </c>
      <c r="L236" s="25"/>
      <c r="M236" s="26"/>
      <c r="N236" s="26"/>
      <c r="O236" s="26"/>
      <c r="P236" s="26"/>
      <c r="Q236" s="26"/>
      <c r="R236" s="27">
        <f t="shared" si="9"/>
        <v>0</v>
      </c>
      <c r="S236" s="20"/>
      <c r="T236" s="31"/>
      <c r="U236" s="32"/>
      <c r="V236" s="32"/>
      <c r="W236" s="31"/>
      <c r="X236" s="32"/>
      <c r="Y236" s="33"/>
    </row>
    <row r="237" spans="1:25" x14ac:dyDescent="0.2">
      <c r="A237" s="24"/>
      <c r="B237" s="24" t="s">
        <v>116</v>
      </c>
      <c r="C237" s="24">
        <v>32</v>
      </c>
      <c r="D237" s="25">
        <v>69.72</v>
      </c>
      <c r="E237" s="26">
        <v>49.132314999999998</v>
      </c>
      <c r="F237" s="26">
        <v>67.064164000000005</v>
      </c>
      <c r="G237" s="26">
        <v>68.527278999999993</v>
      </c>
      <c r="H237" s="26">
        <v>47.698053000000002</v>
      </c>
      <c r="I237" s="26"/>
      <c r="J237" s="27">
        <f t="shared" si="8"/>
        <v>1.3249459166666666E-2</v>
      </c>
      <c r="L237" s="25"/>
      <c r="M237" s="26"/>
      <c r="N237" s="26"/>
      <c r="O237" s="26"/>
      <c r="P237" s="26"/>
      <c r="Q237" s="26"/>
      <c r="R237" s="27">
        <f t="shared" si="9"/>
        <v>0</v>
      </c>
      <c r="S237" s="20"/>
      <c r="T237" s="31"/>
      <c r="U237" s="32"/>
      <c r="V237" s="32"/>
      <c r="W237" s="31"/>
      <c r="X237" s="32"/>
      <c r="Y237" s="33"/>
    </row>
    <row r="238" spans="1:25" ht="12.75" thickBot="1" x14ac:dyDescent="0.25">
      <c r="A238" s="24"/>
      <c r="B238" s="34"/>
      <c r="C238" s="34">
        <v>37</v>
      </c>
      <c r="D238" s="35">
        <v>35.287999999999997</v>
      </c>
      <c r="E238" s="36">
        <v>46.317855999999999</v>
      </c>
      <c r="F238" s="36">
        <v>520.45877099999996</v>
      </c>
      <c r="G238" s="36">
        <v>521.64951399999995</v>
      </c>
      <c r="H238" s="36">
        <v>45.253886999999999</v>
      </c>
      <c r="I238" s="36"/>
      <c r="J238" s="37">
        <f t="shared" si="8"/>
        <v>1.2570524166666666E-2</v>
      </c>
      <c r="L238" s="35"/>
      <c r="M238" s="36"/>
      <c r="N238" s="36"/>
      <c r="O238" s="36"/>
      <c r="P238" s="36"/>
      <c r="Q238" s="36"/>
      <c r="R238" s="37">
        <f t="shared" si="9"/>
        <v>0</v>
      </c>
      <c r="S238" s="20"/>
      <c r="T238" s="41"/>
      <c r="U238" s="42"/>
      <c r="V238" s="42"/>
      <c r="W238" s="41"/>
      <c r="X238" s="42"/>
      <c r="Y238" s="43"/>
    </row>
    <row r="239" spans="1:25" x14ac:dyDescent="0.2">
      <c r="A239" s="24"/>
      <c r="B239" s="13" t="s">
        <v>113</v>
      </c>
      <c r="C239" s="13">
        <v>22</v>
      </c>
      <c r="D239" s="14">
        <v>777.52</v>
      </c>
      <c r="E239" s="15">
        <v>53.363579000000001</v>
      </c>
      <c r="F239" s="15">
        <v>55.061633999999998</v>
      </c>
      <c r="G239" s="15">
        <v>58.137630000000001</v>
      </c>
      <c r="H239" s="15">
        <v>53.159025</v>
      </c>
      <c r="I239" s="15"/>
      <c r="J239" s="16">
        <f t="shared" si="8"/>
        <v>1.4766395833333333E-2</v>
      </c>
      <c r="L239" s="14"/>
      <c r="M239" s="15"/>
      <c r="N239" s="15"/>
      <c r="O239" s="15"/>
      <c r="P239" s="15"/>
      <c r="Q239" s="15"/>
      <c r="R239" s="16">
        <f t="shared" si="9"/>
        <v>0</v>
      </c>
      <c r="S239" s="20"/>
      <c r="T239" s="21" t="e">
        <f>bdrate($D239:$D242,E239:E242,$L239:$L242,M239:M242)</f>
        <v>#VALUE!</v>
      </c>
      <c r="U239" s="22" t="e">
        <f>bdrate($D239:$D242,F239:F242,$L239:$L242,N239:N242)</f>
        <v>#VALUE!</v>
      </c>
      <c r="V239" s="22" t="e">
        <f>bdrate($D239:$D242,G239:G242,$L239:$L242,O239:O242)</f>
        <v>#VALUE!</v>
      </c>
      <c r="W239" s="44" t="e">
        <f>bdrateOld($D239:$D242,E239:E242,$L239:$L242,M239:M242)</f>
        <v>#VALUE!</v>
      </c>
      <c r="X239" s="45" t="e">
        <f>bdrateOld($D239:$D242,F239:F242,$L239:$L242,N239:N242)</f>
        <v>#VALUE!</v>
      </c>
      <c r="Y239" s="46" t="e">
        <f>bdrateOld($D239:$D242,G239:G242,$L239:$L242,O239:O242)</f>
        <v>#VALUE!</v>
      </c>
    </row>
    <row r="240" spans="1:25" x14ac:dyDescent="0.2">
      <c r="A240" s="24"/>
      <c r="B240" s="24"/>
      <c r="C240" s="24">
        <v>27</v>
      </c>
      <c r="D240" s="25">
        <v>305.88799999999998</v>
      </c>
      <c r="E240" s="26">
        <v>51.189275000000002</v>
      </c>
      <c r="F240" s="26">
        <v>56.806390999999998</v>
      </c>
      <c r="G240" s="26">
        <v>57.81174</v>
      </c>
      <c r="H240" s="26">
        <v>51.025260000000003</v>
      </c>
      <c r="I240" s="26"/>
      <c r="J240" s="27">
        <f t="shared" si="8"/>
        <v>1.4173683333333334E-2</v>
      </c>
      <c r="L240" s="25"/>
      <c r="M240" s="26"/>
      <c r="N240" s="26"/>
      <c r="O240" s="26"/>
      <c r="P240" s="26"/>
      <c r="Q240" s="26"/>
      <c r="R240" s="27">
        <f t="shared" si="9"/>
        <v>0</v>
      </c>
      <c r="S240" s="20"/>
      <c r="T240" s="31"/>
      <c r="U240" s="32"/>
      <c r="V240" s="32"/>
      <c r="W240" s="31"/>
      <c r="X240" s="32"/>
      <c r="Y240" s="33"/>
    </row>
    <row r="241" spans="1:25" x14ac:dyDescent="0.2">
      <c r="A241" s="24"/>
      <c r="B241" s="24" t="s">
        <v>116</v>
      </c>
      <c r="C241" s="24">
        <v>32</v>
      </c>
      <c r="D241" s="25">
        <v>117.21599999999999</v>
      </c>
      <c r="E241" s="26">
        <v>48.541862000000002</v>
      </c>
      <c r="F241" s="26">
        <v>48.980752000000003</v>
      </c>
      <c r="G241" s="26">
        <v>50.275288000000003</v>
      </c>
      <c r="H241" s="26">
        <v>48.304178999999998</v>
      </c>
      <c r="I241" s="26"/>
      <c r="J241" s="27">
        <f t="shared" si="8"/>
        <v>1.34178275E-2</v>
      </c>
      <c r="L241" s="25"/>
      <c r="M241" s="26"/>
      <c r="N241" s="26"/>
      <c r="O241" s="26"/>
      <c r="P241" s="26"/>
      <c r="Q241" s="26"/>
      <c r="R241" s="27">
        <f t="shared" si="9"/>
        <v>0</v>
      </c>
      <c r="S241" s="20"/>
      <c r="T241" s="31"/>
      <c r="U241" s="32"/>
      <c r="V241" s="32"/>
      <c r="W241" s="31"/>
      <c r="X241" s="32"/>
      <c r="Y241" s="33"/>
    </row>
    <row r="242" spans="1:25" ht="12.75" thickBot="1" x14ac:dyDescent="0.25">
      <c r="A242" s="24"/>
      <c r="B242" s="34"/>
      <c r="C242" s="34">
        <v>37</v>
      </c>
      <c r="D242" s="35">
        <v>49.735999999999997</v>
      </c>
      <c r="E242" s="36">
        <v>45.982028999999997</v>
      </c>
      <c r="F242" s="36">
        <v>45.397441999999998</v>
      </c>
      <c r="G242" s="36">
        <v>46.776918999999999</v>
      </c>
      <c r="H242" s="36">
        <v>45.605521000000003</v>
      </c>
      <c r="I242" s="36"/>
      <c r="J242" s="37">
        <f t="shared" si="8"/>
        <v>1.2668200277777779E-2</v>
      </c>
      <c r="L242" s="35"/>
      <c r="M242" s="36"/>
      <c r="N242" s="36"/>
      <c r="O242" s="36"/>
      <c r="P242" s="36"/>
      <c r="Q242" s="36"/>
      <c r="R242" s="37">
        <f t="shared" si="9"/>
        <v>0</v>
      </c>
      <c r="S242" s="20"/>
      <c r="T242" s="41"/>
      <c r="U242" s="42"/>
      <c r="V242" s="42"/>
      <c r="W242" s="41"/>
      <c r="X242" s="42"/>
      <c r="Y242" s="43"/>
    </row>
    <row r="243" spans="1:25" x14ac:dyDescent="0.2">
      <c r="A243" s="24"/>
      <c r="B243" s="13" t="s">
        <v>127</v>
      </c>
      <c r="C243" s="13">
        <v>22</v>
      </c>
      <c r="D243" s="14">
        <v>1113.8879999999999</v>
      </c>
      <c r="E243" s="15">
        <v>45.994829000000003</v>
      </c>
      <c r="F243" s="15"/>
      <c r="G243" s="15"/>
      <c r="H243" s="15"/>
      <c r="I243" s="15"/>
      <c r="J243" s="16">
        <f t="shared" si="8"/>
        <v>0</v>
      </c>
      <c r="L243" s="14"/>
      <c r="M243" s="15"/>
      <c r="N243" s="15"/>
      <c r="O243" s="15"/>
      <c r="P243" s="15"/>
      <c r="Q243" s="15"/>
      <c r="R243" s="16">
        <f t="shared" si="9"/>
        <v>0</v>
      </c>
      <c r="S243" s="20"/>
      <c r="T243" s="21" t="e">
        <f>bdrate($D243:$D246,E243:E246,$L243:$L246,M243:M246)</f>
        <v>#VALUE!</v>
      </c>
      <c r="U243" s="22" t="e">
        <f>bdrate($D243:$D246,F243:F246,$L243:$L246,N243:N246)</f>
        <v>#VALUE!</v>
      </c>
      <c r="V243" s="22" t="e">
        <f>bdrate($D243:$D246,G243:G246,$L243:$L246,O243:O246)</f>
        <v>#VALUE!</v>
      </c>
      <c r="W243" s="44" t="e">
        <f>bdrateOld($D243:$D246,E243:E246,$L243:$L246,M243:M246)</f>
        <v>#VALUE!</v>
      </c>
      <c r="X243" s="45" t="e">
        <f>bdrateOld($D243:$D246,F243:F246,$L243:$L246,N243:N246)</f>
        <v>#VALUE!</v>
      </c>
      <c r="Y243" s="46" t="e">
        <f>bdrateOld($D243:$D246,G243:G246,$L243:$L246,O243:O246)</f>
        <v>#VALUE!</v>
      </c>
    </row>
    <row r="244" spans="1:25" x14ac:dyDescent="0.2">
      <c r="A244" s="24"/>
      <c r="B244" s="152">
        <v>400</v>
      </c>
      <c r="C244" s="24">
        <v>27</v>
      </c>
      <c r="D244" s="25">
        <v>288.47199999999998</v>
      </c>
      <c r="E244" s="26">
        <v>44.215778</v>
      </c>
      <c r="F244" s="26"/>
      <c r="G244" s="26"/>
      <c r="H244" s="26"/>
      <c r="I244" s="26"/>
      <c r="J244" s="27">
        <f t="shared" si="8"/>
        <v>0</v>
      </c>
      <c r="L244" s="25"/>
      <c r="M244" s="26"/>
      <c r="N244" s="26"/>
      <c r="O244" s="26"/>
      <c r="P244" s="26"/>
      <c r="Q244" s="26"/>
      <c r="R244" s="27">
        <f t="shared" si="9"/>
        <v>0</v>
      </c>
      <c r="S244" s="20"/>
      <c r="T244" s="31"/>
      <c r="U244" s="32"/>
      <c r="V244" s="32"/>
      <c r="W244" s="31"/>
      <c r="X244" s="32"/>
      <c r="Y244" s="33"/>
    </row>
    <row r="245" spans="1:25" x14ac:dyDescent="0.2">
      <c r="A245" s="24"/>
      <c r="B245" s="24" t="s">
        <v>128</v>
      </c>
      <c r="C245" s="24">
        <v>32</v>
      </c>
      <c r="D245" s="25">
        <v>117.55200000000001</v>
      </c>
      <c r="E245" s="26">
        <v>43.089962999999997</v>
      </c>
      <c r="F245" s="26"/>
      <c r="G245" s="26"/>
      <c r="H245" s="26"/>
      <c r="I245" s="26"/>
      <c r="J245" s="27">
        <f t="shared" si="8"/>
        <v>0</v>
      </c>
      <c r="L245" s="25"/>
      <c r="M245" s="26"/>
      <c r="N245" s="26"/>
      <c r="O245" s="26"/>
      <c r="P245" s="26"/>
      <c r="Q245" s="26"/>
      <c r="R245" s="27">
        <f t="shared" si="9"/>
        <v>0</v>
      </c>
      <c r="S245" s="20"/>
      <c r="T245" s="31"/>
      <c r="U245" s="32"/>
      <c r="V245" s="32"/>
      <c r="W245" s="31"/>
      <c r="X245" s="32"/>
      <c r="Y245" s="33"/>
    </row>
    <row r="246" spans="1:25" ht="12.75" thickBot="1" x14ac:dyDescent="0.25">
      <c r="A246" s="24"/>
      <c r="B246" s="34"/>
      <c r="C246" s="34">
        <v>37</v>
      </c>
      <c r="D246" s="35">
        <v>63.423999999999999</v>
      </c>
      <c r="E246" s="36">
        <v>41.705565999999997</v>
      </c>
      <c r="F246" s="36"/>
      <c r="G246" s="36"/>
      <c r="H246" s="36"/>
      <c r="I246" s="36"/>
      <c r="J246" s="37">
        <f t="shared" si="8"/>
        <v>0</v>
      </c>
      <c r="L246" s="35"/>
      <c r="M246" s="36"/>
      <c r="N246" s="36"/>
      <c r="O246" s="36"/>
      <c r="P246" s="36"/>
      <c r="Q246" s="36"/>
      <c r="R246" s="37">
        <f t="shared" si="9"/>
        <v>0</v>
      </c>
      <c r="S246" s="20"/>
      <c r="T246" s="41"/>
      <c r="U246" s="42"/>
      <c r="V246" s="42"/>
      <c r="W246" s="41"/>
      <c r="X246" s="42"/>
      <c r="Y246" s="43"/>
    </row>
    <row r="247" spans="1:25" x14ac:dyDescent="0.2">
      <c r="A247" s="24"/>
      <c r="B247" s="13"/>
      <c r="C247" s="13">
        <v>22</v>
      </c>
      <c r="D247" s="14"/>
      <c r="E247" s="15"/>
      <c r="F247" s="15"/>
      <c r="G247" s="15"/>
      <c r="H247" s="15"/>
      <c r="I247" s="15"/>
      <c r="J247" s="16">
        <f t="shared" si="8"/>
        <v>0</v>
      </c>
      <c r="L247" s="14"/>
      <c r="M247" s="15"/>
      <c r="N247" s="15"/>
      <c r="O247" s="15"/>
      <c r="P247" s="15"/>
      <c r="Q247" s="15"/>
      <c r="R247" s="16">
        <f t="shared" si="9"/>
        <v>0</v>
      </c>
      <c r="S247" s="20"/>
      <c r="T247" s="21" t="e">
        <f>bdrate($D247:$D250,E247:E250,$L247:$L250,M247:M250)</f>
        <v>#VALUE!</v>
      </c>
      <c r="U247" s="22" t="e">
        <f>bdrate($D247:$D250,F247:F250,$L247:$L250,N247:N250)</f>
        <v>#VALUE!</v>
      </c>
      <c r="V247" s="22" t="e">
        <f>bdrate($D247:$D250,G247:G250,$L247:$L250,O247:O250)</f>
        <v>#VALUE!</v>
      </c>
      <c r="W247" s="44" t="e">
        <f>bdrateOld($D247:$D250,E247:E250,$L247:$L250,M247:M250)</f>
        <v>#VALUE!</v>
      </c>
      <c r="X247" s="45" t="e">
        <f>bdrateOld($D247:$D250,F247:F250,$L247:$L250,N247:N250)</f>
        <v>#VALUE!</v>
      </c>
      <c r="Y247" s="46" t="e">
        <f>bdrateOld($D247:$D250,G247:G250,$L247:$L250,O247:O250)</f>
        <v>#VALUE!</v>
      </c>
    </row>
    <row r="248" spans="1:25" x14ac:dyDescent="0.2">
      <c r="A248" s="24"/>
      <c r="B248" s="24"/>
      <c r="C248" s="24">
        <v>27</v>
      </c>
      <c r="D248" s="25"/>
      <c r="E248" s="26"/>
      <c r="F248" s="26"/>
      <c r="G248" s="26"/>
      <c r="H248" s="26"/>
      <c r="I248" s="26"/>
      <c r="J248" s="27">
        <f t="shared" si="8"/>
        <v>0</v>
      </c>
      <c r="L248" s="25"/>
      <c r="M248" s="26"/>
      <c r="N248" s="26"/>
      <c r="O248" s="26"/>
      <c r="P248" s="26"/>
      <c r="Q248" s="26"/>
      <c r="R248" s="27">
        <f t="shared" si="9"/>
        <v>0</v>
      </c>
      <c r="S248" s="20"/>
      <c r="T248" s="31"/>
      <c r="U248" s="32"/>
      <c r="V248" s="32"/>
      <c r="W248" s="31"/>
      <c r="X248" s="32"/>
      <c r="Y248" s="33"/>
    </row>
    <row r="249" spans="1:25" x14ac:dyDescent="0.2">
      <c r="A249" s="24"/>
      <c r="B249" s="24"/>
      <c r="C249" s="24">
        <v>32</v>
      </c>
      <c r="D249" s="25"/>
      <c r="E249" s="26"/>
      <c r="F249" s="26"/>
      <c r="G249" s="26"/>
      <c r="H249" s="26"/>
      <c r="I249" s="26"/>
      <c r="J249" s="27">
        <f t="shared" si="8"/>
        <v>0</v>
      </c>
      <c r="L249" s="25"/>
      <c r="M249" s="26"/>
      <c r="N249" s="26"/>
      <c r="O249" s="26"/>
      <c r="P249" s="26"/>
      <c r="Q249" s="26"/>
      <c r="R249" s="27">
        <f t="shared" si="9"/>
        <v>0</v>
      </c>
      <c r="S249" s="20"/>
      <c r="T249" s="31"/>
      <c r="U249" s="32"/>
      <c r="V249" s="32"/>
      <c r="W249" s="31"/>
      <c r="X249" s="32"/>
      <c r="Y249" s="33"/>
    </row>
    <row r="250" spans="1:25" ht="12.75" thickBot="1" x14ac:dyDescent="0.25">
      <c r="A250" s="24"/>
      <c r="B250" s="34"/>
      <c r="C250" s="34">
        <v>37</v>
      </c>
      <c r="D250" s="35"/>
      <c r="E250" s="36"/>
      <c r="F250" s="36"/>
      <c r="G250" s="36"/>
      <c r="H250" s="36"/>
      <c r="I250" s="36"/>
      <c r="J250" s="37">
        <f t="shared" si="8"/>
        <v>0</v>
      </c>
      <c r="L250" s="35"/>
      <c r="M250" s="36"/>
      <c r="N250" s="36"/>
      <c r="O250" s="36"/>
      <c r="P250" s="36"/>
      <c r="Q250" s="36"/>
      <c r="R250" s="37">
        <f t="shared" si="9"/>
        <v>0</v>
      </c>
      <c r="S250" s="20"/>
      <c r="T250" s="41"/>
      <c r="U250" s="42"/>
      <c r="V250" s="42"/>
      <c r="W250" s="41"/>
      <c r="X250" s="42"/>
      <c r="Y250" s="43"/>
    </row>
    <row r="251" spans="1:25" x14ac:dyDescent="0.2">
      <c r="A251" s="24"/>
      <c r="B251" s="13"/>
      <c r="C251" s="13">
        <v>22</v>
      </c>
      <c r="D251" s="14"/>
      <c r="E251" s="15"/>
      <c r="F251" s="15"/>
      <c r="G251" s="15"/>
      <c r="H251" s="15"/>
      <c r="I251" s="15"/>
      <c r="J251" s="16">
        <f t="shared" si="8"/>
        <v>0</v>
      </c>
      <c r="L251" s="14"/>
      <c r="M251" s="15"/>
      <c r="N251" s="15"/>
      <c r="O251" s="15"/>
      <c r="P251" s="15"/>
      <c r="Q251" s="15"/>
      <c r="R251" s="16">
        <f t="shared" si="9"/>
        <v>0</v>
      </c>
      <c r="S251" s="20"/>
      <c r="T251" s="21" t="e">
        <f>bdrate($D251:$D254,E251:E254,$L251:$L254,M251:M254)</f>
        <v>#VALUE!</v>
      </c>
      <c r="U251" s="22" t="e">
        <f>bdrate($D251:$D254,F251:F254,$L251:$L254,N251:N254)</f>
        <v>#VALUE!</v>
      </c>
      <c r="V251" s="22" t="e">
        <f>bdrate($D251:$D254,G251:G254,$L251:$L254,O251:O254)</f>
        <v>#VALUE!</v>
      </c>
      <c r="W251" s="44" t="e">
        <f>bdrateOld($D251:$D254,E251:E254,$L251:$L254,M251:M254)</f>
        <v>#VALUE!</v>
      </c>
      <c r="X251" s="45" t="e">
        <f>bdrateOld($D251:$D254,F251:F254,$L251:$L254,N251:N254)</f>
        <v>#VALUE!</v>
      </c>
      <c r="Y251" s="46" t="e">
        <f>bdrateOld($D251:$D254,G251:G254,$L251:$L254,O251:O254)</f>
        <v>#VALUE!</v>
      </c>
    </row>
    <row r="252" spans="1:25" x14ac:dyDescent="0.2">
      <c r="A252" s="24"/>
      <c r="B252" s="24"/>
      <c r="C252" s="24">
        <v>27</v>
      </c>
      <c r="D252" s="25"/>
      <c r="E252" s="26"/>
      <c r="F252" s="26"/>
      <c r="G252" s="26"/>
      <c r="H252" s="26"/>
      <c r="I252" s="26"/>
      <c r="J252" s="27">
        <f t="shared" si="8"/>
        <v>0</v>
      </c>
      <c r="L252" s="25"/>
      <c r="M252" s="26"/>
      <c r="N252" s="26"/>
      <c r="O252" s="26"/>
      <c r="P252" s="26"/>
      <c r="Q252" s="26"/>
      <c r="R252" s="27">
        <f t="shared" si="9"/>
        <v>0</v>
      </c>
      <c r="S252" s="20"/>
      <c r="T252" s="31"/>
      <c r="U252" s="32"/>
      <c r="V252" s="32"/>
      <c r="W252" s="31"/>
      <c r="X252" s="32"/>
      <c r="Y252" s="33"/>
    </row>
    <row r="253" spans="1:25" x14ac:dyDescent="0.2">
      <c r="A253" s="24"/>
      <c r="B253" s="24"/>
      <c r="C253" s="24">
        <v>32</v>
      </c>
      <c r="D253" s="25"/>
      <c r="E253" s="26"/>
      <c r="F253" s="26"/>
      <c r="G253" s="26"/>
      <c r="H253" s="26"/>
      <c r="I253" s="26"/>
      <c r="J253" s="27">
        <f t="shared" si="8"/>
        <v>0</v>
      </c>
      <c r="L253" s="25"/>
      <c r="M253" s="26"/>
      <c r="N253" s="26"/>
      <c r="O253" s="26"/>
      <c r="P253" s="26"/>
      <c r="Q253" s="26"/>
      <c r="R253" s="27">
        <f t="shared" si="9"/>
        <v>0</v>
      </c>
      <c r="S253" s="20"/>
      <c r="T253" s="31"/>
      <c r="U253" s="32"/>
      <c r="V253" s="32"/>
      <c r="W253" s="31"/>
      <c r="X253" s="32"/>
      <c r="Y253" s="33"/>
    </row>
    <row r="254" spans="1:25" ht="12.75" thickBot="1" x14ac:dyDescent="0.25">
      <c r="A254" s="24"/>
      <c r="B254" s="34"/>
      <c r="C254" s="34">
        <v>37</v>
      </c>
      <c r="D254" s="35"/>
      <c r="E254" s="36"/>
      <c r="F254" s="36"/>
      <c r="G254" s="36"/>
      <c r="H254" s="36"/>
      <c r="I254" s="36"/>
      <c r="J254" s="37">
        <f t="shared" si="8"/>
        <v>0</v>
      </c>
      <c r="L254" s="35"/>
      <c r="M254" s="36"/>
      <c r="N254" s="36"/>
      <c r="O254" s="36"/>
      <c r="P254" s="36"/>
      <c r="Q254" s="36"/>
      <c r="R254" s="37">
        <f t="shared" si="9"/>
        <v>0</v>
      </c>
      <c r="S254" s="20"/>
      <c r="T254" s="41"/>
      <c r="U254" s="42"/>
      <c r="V254" s="42"/>
      <c r="W254" s="41"/>
      <c r="X254" s="42"/>
      <c r="Y254" s="43"/>
    </row>
    <row r="255" spans="1:25" x14ac:dyDescent="0.2">
      <c r="A255" s="24"/>
      <c r="B255" s="13"/>
      <c r="C255" s="13">
        <v>22</v>
      </c>
      <c r="D255" s="14"/>
      <c r="E255" s="15"/>
      <c r="F255" s="15"/>
      <c r="G255" s="15"/>
      <c r="H255" s="15"/>
      <c r="I255" s="15"/>
      <c r="J255" s="16">
        <f t="shared" si="8"/>
        <v>0</v>
      </c>
      <c r="L255" s="14"/>
      <c r="M255" s="15"/>
      <c r="N255" s="15"/>
      <c r="O255" s="15"/>
      <c r="P255" s="15"/>
      <c r="Q255" s="15"/>
      <c r="R255" s="16">
        <f t="shared" si="9"/>
        <v>0</v>
      </c>
      <c r="S255" s="20"/>
      <c r="T255" s="21" t="e">
        <f>bdrate($D255:$D258,E255:E258,$L255:$L258,M255:M258)</f>
        <v>#VALUE!</v>
      </c>
      <c r="U255" s="22" t="e">
        <f>bdrate($D255:$D258,F255:F258,$L255:$L258,N255:N258)</f>
        <v>#VALUE!</v>
      </c>
      <c r="V255" s="22" t="e">
        <f>bdrate($D255:$D258,G255:G258,$L255:$L258,O255:O258)</f>
        <v>#VALUE!</v>
      </c>
      <c r="W255" s="44" t="e">
        <f>bdrateOld($D255:$D258,E255:E258,$L255:$L258,M255:M258)</f>
        <v>#VALUE!</v>
      </c>
      <c r="X255" s="45" t="e">
        <f>bdrateOld($D255:$D258,F255:F258,$L255:$L258,N255:N258)</f>
        <v>#VALUE!</v>
      </c>
      <c r="Y255" s="46" t="e">
        <f>bdrateOld($D255:$D258,G255:G258,$L255:$L258,O255:O258)</f>
        <v>#VALUE!</v>
      </c>
    </row>
    <row r="256" spans="1:25" x14ac:dyDescent="0.2">
      <c r="A256" s="24"/>
      <c r="B256" s="24"/>
      <c r="C256" s="24">
        <v>27</v>
      </c>
      <c r="D256" s="25"/>
      <c r="E256" s="26"/>
      <c r="F256" s="26"/>
      <c r="G256" s="26"/>
      <c r="H256" s="26"/>
      <c r="I256" s="26"/>
      <c r="J256" s="27">
        <f t="shared" si="8"/>
        <v>0</v>
      </c>
      <c r="L256" s="25"/>
      <c r="M256" s="26"/>
      <c r="N256" s="26"/>
      <c r="O256" s="26"/>
      <c r="P256" s="26"/>
      <c r="Q256" s="26"/>
      <c r="R256" s="27">
        <f t="shared" si="9"/>
        <v>0</v>
      </c>
      <c r="S256" s="20"/>
      <c r="T256" s="31"/>
      <c r="U256" s="32"/>
      <c r="V256" s="32"/>
      <c r="W256" s="31"/>
      <c r="X256" s="32"/>
      <c r="Y256" s="33"/>
    </row>
    <row r="257" spans="1:25" x14ac:dyDescent="0.2">
      <c r="A257" s="24"/>
      <c r="B257" s="24"/>
      <c r="C257" s="24">
        <v>32</v>
      </c>
      <c r="D257" s="25"/>
      <c r="E257" s="26"/>
      <c r="F257" s="26"/>
      <c r="G257" s="26"/>
      <c r="H257" s="26"/>
      <c r="I257" s="26"/>
      <c r="J257" s="27">
        <f t="shared" si="8"/>
        <v>0</v>
      </c>
      <c r="L257" s="25"/>
      <c r="M257" s="26"/>
      <c r="N257" s="26"/>
      <c r="O257" s="26"/>
      <c r="P257" s="26"/>
      <c r="Q257" s="26"/>
      <c r="R257" s="27">
        <f t="shared" si="9"/>
        <v>0</v>
      </c>
      <c r="S257" s="20"/>
      <c r="T257" s="31"/>
      <c r="U257" s="32"/>
      <c r="V257" s="32"/>
      <c r="W257" s="31"/>
      <c r="X257" s="32"/>
      <c r="Y257" s="33"/>
    </row>
    <row r="258" spans="1:25" ht="12.75" thickBot="1" x14ac:dyDescent="0.25">
      <c r="A258" s="24"/>
      <c r="B258" s="34"/>
      <c r="C258" s="34">
        <v>37</v>
      </c>
      <c r="D258" s="35"/>
      <c r="E258" s="36"/>
      <c r="F258" s="36"/>
      <c r="G258" s="36"/>
      <c r="H258" s="36"/>
      <c r="I258" s="36"/>
      <c r="J258" s="37">
        <f t="shared" si="8"/>
        <v>0</v>
      </c>
      <c r="L258" s="35"/>
      <c r="M258" s="36"/>
      <c r="N258" s="36"/>
      <c r="O258" s="36"/>
      <c r="P258" s="36"/>
      <c r="Q258" s="36"/>
      <c r="R258" s="37">
        <f t="shared" si="9"/>
        <v>0</v>
      </c>
      <c r="S258" s="20"/>
      <c r="T258" s="41"/>
      <c r="U258" s="42"/>
      <c r="V258" s="42"/>
      <c r="W258" s="41"/>
      <c r="X258" s="42"/>
      <c r="Y258" s="43"/>
    </row>
    <row r="259" spans="1:25" x14ac:dyDescent="0.2">
      <c r="A259" s="24"/>
      <c r="B259" s="13"/>
      <c r="C259" s="13">
        <v>22</v>
      </c>
      <c r="D259" s="14"/>
      <c r="E259" s="15"/>
      <c r="F259" s="15"/>
      <c r="G259" s="15"/>
      <c r="H259" s="15"/>
      <c r="I259" s="15"/>
      <c r="J259" s="16">
        <f t="shared" si="8"/>
        <v>0</v>
      </c>
      <c r="L259" s="14"/>
      <c r="M259" s="15"/>
      <c r="N259" s="15"/>
      <c r="O259" s="15"/>
      <c r="P259" s="15"/>
      <c r="Q259" s="15"/>
      <c r="R259" s="16">
        <f t="shared" si="9"/>
        <v>0</v>
      </c>
      <c r="S259" s="20"/>
      <c r="T259" s="21" t="e">
        <f>bdrate($D259:$D262,E259:E262,$L259:$L262,M259:M262)</f>
        <v>#VALUE!</v>
      </c>
      <c r="U259" s="22" t="e">
        <f>bdrate($D259:$D262,F259:F262,$L259:$L262,N259:N262)</f>
        <v>#VALUE!</v>
      </c>
      <c r="V259" s="22" t="e">
        <f>bdrate($D259:$D262,G259:G262,$L259:$L262,O259:O262)</f>
        <v>#VALUE!</v>
      </c>
      <c r="W259" s="44" t="e">
        <f>bdrateOld($D259:$D262,E259:E262,$L259:$L262,M259:M262)</f>
        <v>#VALUE!</v>
      </c>
      <c r="X259" s="45" t="e">
        <f>bdrateOld($D259:$D262,F259:F262,$L259:$L262,N259:N262)</f>
        <v>#VALUE!</v>
      </c>
      <c r="Y259" s="46" t="e">
        <f>bdrateOld($D259:$D262,G259:G262,$L259:$L262,O259:O262)</f>
        <v>#VALUE!</v>
      </c>
    </row>
    <row r="260" spans="1:25" x14ac:dyDescent="0.2">
      <c r="A260" s="24"/>
      <c r="B260" s="24"/>
      <c r="C260" s="24">
        <v>27</v>
      </c>
      <c r="D260" s="25"/>
      <c r="E260" s="26"/>
      <c r="F260" s="26"/>
      <c r="G260" s="26"/>
      <c r="H260" s="26"/>
      <c r="I260" s="26"/>
      <c r="J260" s="27">
        <f t="shared" si="8"/>
        <v>0</v>
      </c>
      <c r="L260" s="25"/>
      <c r="M260" s="26"/>
      <c r="N260" s="26"/>
      <c r="O260" s="26"/>
      <c r="P260" s="26"/>
      <c r="Q260" s="26"/>
      <c r="R260" s="27">
        <f t="shared" si="9"/>
        <v>0</v>
      </c>
      <c r="S260" s="20"/>
      <c r="T260" s="31"/>
      <c r="U260" s="32"/>
      <c r="V260" s="32"/>
      <c r="W260" s="31"/>
      <c r="X260" s="32"/>
      <c r="Y260" s="33"/>
    </row>
    <row r="261" spans="1:25" x14ac:dyDescent="0.2">
      <c r="A261" s="24"/>
      <c r="B261" s="24"/>
      <c r="C261" s="24">
        <v>32</v>
      </c>
      <c r="D261" s="25"/>
      <c r="E261" s="26"/>
      <c r="F261" s="26"/>
      <c r="G261" s="26"/>
      <c r="H261" s="26"/>
      <c r="I261" s="26"/>
      <c r="J261" s="27">
        <f t="shared" si="8"/>
        <v>0</v>
      </c>
      <c r="L261" s="25"/>
      <c r="M261" s="26"/>
      <c r="N261" s="26"/>
      <c r="O261" s="26"/>
      <c r="P261" s="26"/>
      <c r="Q261" s="26"/>
      <c r="R261" s="27">
        <f t="shared" si="9"/>
        <v>0</v>
      </c>
      <c r="S261" s="20"/>
      <c r="T261" s="31"/>
      <c r="U261" s="32"/>
      <c r="V261" s="32"/>
      <c r="W261" s="31"/>
      <c r="X261" s="32"/>
      <c r="Y261" s="33"/>
    </row>
    <row r="262" spans="1:25" ht="12.75" thickBot="1" x14ac:dyDescent="0.25">
      <c r="A262" s="34"/>
      <c r="B262" s="34"/>
      <c r="C262" s="34">
        <v>37</v>
      </c>
      <c r="D262" s="35"/>
      <c r="E262" s="36"/>
      <c r="F262" s="36"/>
      <c r="G262" s="36"/>
      <c r="H262" s="36"/>
      <c r="I262" s="36"/>
      <c r="J262" s="37">
        <f t="shared" si="8"/>
        <v>0</v>
      </c>
      <c r="L262" s="35"/>
      <c r="M262" s="36"/>
      <c r="N262" s="36"/>
      <c r="O262" s="36"/>
      <c r="P262" s="36"/>
      <c r="Q262" s="36"/>
      <c r="R262" s="37">
        <f t="shared" si="9"/>
        <v>0</v>
      </c>
      <c r="S262" s="20"/>
      <c r="T262" s="41"/>
      <c r="U262" s="42"/>
      <c r="V262" s="42"/>
      <c r="W262" s="41"/>
      <c r="X262" s="42"/>
      <c r="Y262" s="43"/>
    </row>
    <row r="263" spans="1:25" x14ac:dyDescent="0.2">
      <c r="A263" s="13" t="s">
        <v>122</v>
      </c>
      <c r="B263" s="13" t="s">
        <v>109</v>
      </c>
      <c r="C263" s="13">
        <v>22</v>
      </c>
      <c r="D263" s="17">
        <v>1006.2</v>
      </c>
      <c r="E263" s="18">
        <v>50.556907000000002</v>
      </c>
      <c r="F263" s="18">
        <v>45.991661000000001</v>
      </c>
      <c r="G263" s="18">
        <v>46.164983999999997</v>
      </c>
      <c r="H263" s="18">
        <v>47.126002999999997</v>
      </c>
      <c r="I263" s="18"/>
      <c r="J263" s="16">
        <f>H263/3600</f>
        <v>1.3090556388888888E-2</v>
      </c>
      <c r="L263" s="17"/>
      <c r="M263" s="18"/>
      <c r="N263" s="18"/>
      <c r="O263" s="18"/>
      <c r="P263" s="18"/>
      <c r="Q263" s="18"/>
      <c r="R263" s="19">
        <f>P263/3600</f>
        <v>0</v>
      </c>
      <c r="S263" s="20"/>
      <c r="T263" s="21" t="e">
        <f>bdrate($D263:$D266,E263:E266,$L263:$L266,M263:M266)</f>
        <v>#VALUE!</v>
      </c>
      <c r="U263" s="22" t="e">
        <f>bdrate($D263:$D266,F263:F266,$L263:$L266,N263:N266)</f>
        <v>#VALUE!</v>
      </c>
      <c r="V263" s="23" t="e">
        <f>bdrate($D263:$D266,G263:G266,$L263:$L266,O263:O266)</f>
        <v>#VALUE!</v>
      </c>
      <c r="W263" s="21" t="e">
        <f>bdrateOld($D263:$D266,E263:E266,$L263:$L266,M263:M266)</f>
        <v>#VALUE!</v>
      </c>
      <c r="X263" s="22" t="e">
        <f>bdrateOld($D263:$D266,F263:F266,$L263:$L266,N263:N266)</f>
        <v>#VALUE!</v>
      </c>
      <c r="Y263" s="23" t="e">
        <f>bdrateOld($D263:$D266,G263:G266,$L263:$L266,O263:O266)</f>
        <v>#VALUE!</v>
      </c>
    </row>
    <row r="264" spans="1:25" x14ac:dyDescent="0.2">
      <c r="A264" s="24"/>
      <c r="B264" s="24" t="s">
        <v>110</v>
      </c>
      <c r="C264" s="24">
        <v>27</v>
      </c>
      <c r="D264" s="28">
        <v>339.16</v>
      </c>
      <c r="E264" s="29">
        <v>49.430301</v>
      </c>
      <c r="F264" s="29">
        <v>44.532083999999998</v>
      </c>
      <c r="G264" s="29">
        <v>44.718924000000001</v>
      </c>
      <c r="H264" s="29">
        <v>45.720869</v>
      </c>
      <c r="I264" s="29"/>
      <c r="J264" s="27">
        <f t="shared" ref="J264:J314" si="10">H264/3600</f>
        <v>1.2700241388888889E-2</v>
      </c>
      <c r="L264" s="28"/>
      <c r="M264" s="29"/>
      <c r="N264" s="29"/>
      <c r="O264" s="29"/>
      <c r="P264" s="29"/>
      <c r="Q264" s="29"/>
      <c r="R264" s="30">
        <f t="shared" ref="R264:R314" si="11">P264/3600</f>
        <v>0</v>
      </c>
      <c r="S264" s="20"/>
      <c r="T264" s="31"/>
      <c r="U264" s="32"/>
      <c r="V264" s="33"/>
      <c r="W264" s="31"/>
      <c r="X264" s="32"/>
      <c r="Y264" s="33"/>
    </row>
    <row r="265" spans="1:25" x14ac:dyDescent="0.2">
      <c r="A265" s="24"/>
      <c r="B265" s="24"/>
      <c r="C265" s="24">
        <v>32</v>
      </c>
      <c r="D265" s="28">
        <v>144.32</v>
      </c>
      <c r="E265" s="29">
        <v>47.914067000000003</v>
      </c>
      <c r="F265" s="29">
        <v>43.625754000000001</v>
      </c>
      <c r="G265" s="29">
        <v>43.744269000000003</v>
      </c>
      <c r="H265" s="29">
        <v>44.694397000000002</v>
      </c>
      <c r="I265" s="29"/>
      <c r="J265" s="27">
        <f t="shared" si="10"/>
        <v>1.2415110277777778E-2</v>
      </c>
      <c r="L265" s="28"/>
      <c r="M265" s="29"/>
      <c r="N265" s="29"/>
      <c r="O265" s="29"/>
      <c r="P265" s="29"/>
      <c r="Q265" s="29"/>
      <c r="R265" s="30">
        <f t="shared" si="11"/>
        <v>0</v>
      </c>
      <c r="S265" s="20"/>
      <c r="T265" s="31"/>
      <c r="U265" s="32"/>
      <c r="V265" s="33"/>
      <c r="W265" s="31"/>
      <c r="X265" s="32"/>
      <c r="Y265" s="33"/>
    </row>
    <row r="266" spans="1:25" ht="12.75" thickBot="1" x14ac:dyDescent="0.25">
      <c r="A266" s="24"/>
      <c r="B266" s="34"/>
      <c r="C266" s="34">
        <v>37</v>
      </c>
      <c r="D266" s="38">
        <v>75.775999999999996</v>
      </c>
      <c r="E266" s="39">
        <v>46.056108999999999</v>
      </c>
      <c r="F266" s="39">
        <v>42.815634000000003</v>
      </c>
      <c r="G266" s="39">
        <v>42.750444999999999</v>
      </c>
      <c r="H266" s="39">
        <v>43.626049999999999</v>
      </c>
      <c r="I266" s="39"/>
      <c r="J266" s="37">
        <f t="shared" si="10"/>
        <v>1.2118347222222221E-2</v>
      </c>
      <c r="L266" s="38"/>
      <c r="M266" s="39"/>
      <c r="N266" s="39"/>
      <c r="O266" s="39"/>
      <c r="P266" s="39"/>
      <c r="Q266" s="39"/>
      <c r="R266" s="40">
        <f t="shared" si="11"/>
        <v>0</v>
      </c>
      <c r="S266" s="20"/>
      <c r="T266" s="41"/>
      <c r="U266" s="42"/>
      <c r="V266" s="43"/>
      <c r="W266" s="41"/>
      <c r="X266" s="42"/>
      <c r="Y266" s="43"/>
    </row>
    <row r="267" spans="1:25" x14ac:dyDescent="0.2">
      <c r="A267" s="24"/>
      <c r="B267" s="13" t="s">
        <v>111</v>
      </c>
      <c r="C267" s="13">
        <v>22</v>
      </c>
      <c r="D267" s="17">
        <v>2027.4159999999999</v>
      </c>
      <c r="E267" s="18">
        <v>49.009619999999998</v>
      </c>
      <c r="F267" s="18">
        <v>44.947484000000003</v>
      </c>
      <c r="G267" s="18">
        <v>45.135308999999999</v>
      </c>
      <c r="H267" s="18">
        <v>46.007786000000003</v>
      </c>
      <c r="I267" s="18"/>
      <c r="J267" s="16">
        <f t="shared" si="10"/>
        <v>1.2779940555555556E-2</v>
      </c>
      <c r="L267" s="17"/>
      <c r="M267" s="18"/>
      <c r="N267" s="18"/>
      <c r="O267" s="18"/>
      <c r="P267" s="18"/>
      <c r="Q267" s="18"/>
      <c r="R267" s="19">
        <f t="shared" si="11"/>
        <v>0</v>
      </c>
      <c r="S267" s="20"/>
      <c r="T267" s="21" t="e">
        <f>bdrate($D267:$D270,E267:E270,$L267:$L270,M267:M270)</f>
        <v>#VALUE!</v>
      </c>
      <c r="U267" s="22" t="e">
        <f>bdrate($D267:$D270,F267:F270,$L267:$L270,N267:N270)</f>
        <v>#VALUE!</v>
      </c>
      <c r="V267" s="22" t="e">
        <f>bdrate($D267:$D270,G267:G270,$L267:$L270,O267:O270)</f>
        <v>#VALUE!</v>
      </c>
      <c r="W267" s="44" t="e">
        <f>bdrateOld($D267:$D270,E267:E270,$L267:$L270,M267:M270)</f>
        <v>#VALUE!</v>
      </c>
      <c r="X267" s="45" t="e">
        <f>bdrateOld($D267:$D270,F267:F270,$L267:$L270,N267:N270)</f>
        <v>#VALUE!</v>
      </c>
      <c r="Y267" s="46" t="e">
        <f>bdrateOld($D267:$D270,G267:G270,$L267:$L270,O267:O270)</f>
        <v>#VALUE!</v>
      </c>
    </row>
    <row r="268" spans="1:25" x14ac:dyDescent="0.2">
      <c r="A268" s="24"/>
      <c r="B268" s="24"/>
      <c r="C268" s="24">
        <v>27</v>
      </c>
      <c r="D268" s="28">
        <v>744.55200000000002</v>
      </c>
      <c r="E268" s="29">
        <v>47.544929000000003</v>
      </c>
      <c r="F268" s="29">
        <v>42.790720999999998</v>
      </c>
      <c r="G268" s="29">
        <v>43.040661</v>
      </c>
      <c r="H268" s="29">
        <v>43.985033000000001</v>
      </c>
      <c r="I268" s="29"/>
      <c r="J268" s="27">
        <f t="shared" si="10"/>
        <v>1.2218064722222222E-2</v>
      </c>
      <c r="L268" s="28"/>
      <c r="M268" s="29"/>
      <c r="N268" s="29"/>
      <c r="O268" s="29"/>
      <c r="P268" s="29"/>
      <c r="Q268" s="29"/>
      <c r="R268" s="30">
        <f t="shared" si="11"/>
        <v>0</v>
      </c>
      <c r="S268" s="20"/>
      <c r="T268" s="31"/>
      <c r="U268" s="32"/>
      <c r="V268" s="32"/>
      <c r="W268" s="31"/>
      <c r="X268" s="32"/>
      <c r="Y268" s="33"/>
    </row>
    <row r="269" spans="1:25" x14ac:dyDescent="0.2">
      <c r="A269" s="24"/>
      <c r="B269" s="24"/>
      <c r="C269" s="24">
        <v>32</v>
      </c>
      <c r="D269" s="28">
        <v>336.2</v>
      </c>
      <c r="E269" s="29">
        <v>45.739868999999999</v>
      </c>
      <c r="F269" s="29">
        <v>41.384532999999998</v>
      </c>
      <c r="G269" s="29">
        <v>41.607140999999999</v>
      </c>
      <c r="H269" s="29">
        <v>42.506737999999999</v>
      </c>
      <c r="I269" s="29"/>
      <c r="J269" s="27">
        <f t="shared" si="10"/>
        <v>1.1807427222222222E-2</v>
      </c>
      <c r="L269" s="28"/>
      <c r="M269" s="29"/>
      <c r="N269" s="29"/>
      <c r="O269" s="29"/>
      <c r="P269" s="29"/>
      <c r="Q269" s="29"/>
      <c r="R269" s="30">
        <f t="shared" si="11"/>
        <v>0</v>
      </c>
      <c r="S269" s="20"/>
      <c r="T269" s="31"/>
      <c r="U269" s="47"/>
      <c r="V269" s="32"/>
      <c r="W269" s="31"/>
      <c r="X269" s="32"/>
      <c r="Y269" s="33"/>
    </row>
    <row r="270" spans="1:25" ht="12.75" thickBot="1" x14ac:dyDescent="0.25">
      <c r="A270" s="24"/>
      <c r="B270" s="34"/>
      <c r="C270" s="34">
        <v>37</v>
      </c>
      <c r="D270" s="38">
        <v>177.91200000000001</v>
      </c>
      <c r="E270" s="39">
        <v>43.571178000000003</v>
      </c>
      <c r="F270" s="39">
        <v>40.003368999999999</v>
      </c>
      <c r="G270" s="39">
        <v>40.149549999999998</v>
      </c>
      <c r="H270" s="39">
        <v>40.960427000000003</v>
      </c>
      <c r="I270" s="39"/>
      <c r="J270" s="37">
        <f t="shared" si="10"/>
        <v>1.137789638888889E-2</v>
      </c>
      <c r="L270" s="38"/>
      <c r="M270" s="39"/>
      <c r="N270" s="39"/>
      <c r="O270" s="39"/>
      <c r="P270" s="39"/>
      <c r="Q270" s="39"/>
      <c r="R270" s="40">
        <f t="shared" si="11"/>
        <v>0</v>
      </c>
      <c r="S270" s="20"/>
      <c r="T270" s="41"/>
      <c r="U270" s="42"/>
      <c r="V270" s="42"/>
      <c r="W270" s="41"/>
      <c r="X270" s="42"/>
      <c r="Y270" s="43"/>
    </row>
    <row r="271" spans="1:25" x14ac:dyDescent="0.2">
      <c r="A271" s="118"/>
      <c r="B271" s="117" t="s">
        <v>112</v>
      </c>
      <c r="C271" s="117">
        <v>22</v>
      </c>
      <c r="D271" s="17">
        <v>1064.376</v>
      </c>
      <c r="E271" s="18">
        <v>53.876565999999997</v>
      </c>
      <c r="F271" s="18">
        <v>524.85784699999999</v>
      </c>
      <c r="G271" s="18">
        <v>525.76238499999999</v>
      </c>
      <c r="H271" s="18">
        <v>53.629618000000001</v>
      </c>
      <c r="I271" s="18"/>
      <c r="J271" s="16">
        <f t="shared" si="10"/>
        <v>1.4897116111111112E-2</v>
      </c>
      <c r="L271" s="14">
        <v>625.37599999999998</v>
      </c>
      <c r="M271" s="15">
        <v>53.040993999999998</v>
      </c>
      <c r="N271" s="15">
        <v>523.46753899999999</v>
      </c>
      <c r="O271" s="15">
        <v>524.71846100000005</v>
      </c>
      <c r="P271" s="15">
        <v>51.509995000000004</v>
      </c>
      <c r="Q271" s="18"/>
      <c r="R271" s="19">
        <f t="shared" si="11"/>
        <v>1.4308331944444445E-2</v>
      </c>
      <c r="S271" s="20"/>
      <c r="T271" s="21">
        <f>bdrate($D271:$D274,E271:E274,$L271:$L274,M271:M274)</f>
        <v>-0.20924345135001221</v>
      </c>
      <c r="U271" s="22">
        <f>bdrate($D271:$D274,F271:F274,$L271:$L274,N271:N274)</f>
        <v>0.2071380430461105</v>
      </c>
      <c r="V271" s="22">
        <f>bdrate($D271:$D274,G271:G274,$L271:$L274,O271:O274)</f>
        <v>0.26265454600709148</v>
      </c>
      <c r="W271" s="44">
        <f>bdrateOld($D271:$D274,E271:E274,$L271:$L274,M271:M274)</f>
        <v>-0.2100052602367497</v>
      </c>
      <c r="X271" s="45">
        <f>bdrateOld($D271:$D274,F271:F274,$L271:$L274,N271:N274)</f>
        <v>0.23827495584053682</v>
      </c>
      <c r="Y271" s="46">
        <f>bdrateOld($D271:$D274,G271:G274,$L271:$L274,O271:O274)</f>
        <v>-0.18905829782942096</v>
      </c>
    </row>
    <row r="272" spans="1:25" x14ac:dyDescent="0.2">
      <c r="A272" s="118"/>
      <c r="B272" s="118"/>
      <c r="C272" s="118">
        <v>27</v>
      </c>
      <c r="D272" s="28">
        <v>535.83199999999999</v>
      </c>
      <c r="E272" s="29">
        <v>51.899394999999998</v>
      </c>
      <c r="F272" s="29">
        <v>523.38289399999996</v>
      </c>
      <c r="G272" s="29">
        <v>524.67474400000003</v>
      </c>
      <c r="H272" s="29">
        <v>51.177033999999999</v>
      </c>
      <c r="I272" s="29"/>
      <c r="J272" s="27">
        <f t="shared" si="10"/>
        <v>1.4215842777777777E-2</v>
      </c>
      <c r="L272" s="25">
        <v>276.56</v>
      </c>
      <c r="M272" s="26">
        <v>50.647246000000003</v>
      </c>
      <c r="N272" s="26">
        <v>521.83254999999997</v>
      </c>
      <c r="O272" s="26">
        <v>523.44773999999995</v>
      </c>
      <c r="P272" s="26">
        <v>48.590184000000001</v>
      </c>
      <c r="Q272" s="29"/>
      <c r="R272" s="30">
        <f t="shared" si="11"/>
        <v>1.3497273333333334E-2</v>
      </c>
      <c r="S272" s="20"/>
      <c r="T272" s="31"/>
      <c r="U272" s="32"/>
      <c r="V272" s="32"/>
      <c r="W272" s="31"/>
      <c r="X272" s="32"/>
      <c r="Y272" s="33"/>
    </row>
    <row r="273" spans="1:25" x14ac:dyDescent="0.2">
      <c r="A273" s="118"/>
      <c r="B273" s="118" t="s">
        <v>126</v>
      </c>
      <c r="C273" s="118">
        <v>32</v>
      </c>
      <c r="D273" s="28">
        <v>266.82400000000001</v>
      </c>
      <c r="E273" s="29">
        <v>49.645023000000002</v>
      </c>
      <c r="F273" s="29">
        <v>522.09540300000003</v>
      </c>
      <c r="G273" s="29">
        <v>523.673452</v>
      </c>
      <c r="H273" s="29">
        <v>48.835089000000004</v>
      </c>
      <c r="I273" s="29"/>
      <c r="J273" s="27">
        <f t="shared" si="10"/>
        <v>1.3565302500000001E-2</v>
      </c>
      <c r="L273" s="25">
        <v>134.68799999999999</v>
      </c>
      <c r="M273" s="26">
        <v>47.804155000000002</v>
      </c>
      <c r="N273" s="26">
        <v>66.165441999999999</v>
      </c>
      <c r="O273" s="26">
        <v>67.566935999999998</v>
      </c>
      <c r="P273" s="26">
        <v>45.857064999999999</v>
      </c>
      <c r="Q273" s="29"/>
      <c r="R273" s="30">
        <f t="shared" si="11"/>
        <v>1.273807361111111E-2</v>
      </c>
      <c r="S273" s="20"/>
      <c r="T273" s="31"/>
      <c r="U273" s="32"/>
      <c r="V273" s="32"/>
      <c r="W273" s="31"/>
      <c r="X273" s="32"/>
      <c r="Y273" s="33"/>
    </row>
    <row r="274" spans="1:25" ht="12.75" thickBot="1" x14ac:dyDescent="0.25">
      <c r="A274" s="118"/>
      <c r="B274" s="119"/>
      <c r="C274" s="119">
        <v>37</v>
      </c>
      <c r="D274" s="38">
        <v>136.26400000000001</v>
      </c>
      <c r="E274" s="39">
        <v>47.04515</v>
      </c>
      <c r="F274" s="39">
        <v>521.07769499999995</v>
      </c>
      <c r="G274" s="39">
        <v>522.60015999999996</v>
      </c>
      <c r="H274" s="39">
        <v>46.614457999999999</v>
      </c>
      <c r="I274" s="39"/>
      <c r="J274" s="37">
        <f t="shared" si="10"/>
        <v>1.2948460555555555E-2</v>
      </c>
      <c r="L274" s="35">
        <v>73.152000000000001</v>
      </c>
      <c r="M274" s="36">
        <v>44.799111000000003</v>
      </c>
      <c r="N274" s="36">
        <v>519.20154100000002</v>
      </c>
      <c r="O274" s="36">
        <v>520.37847999999997</v>
      </c>
      <c r="P274" s="36">
        <v>42.848976</v>
      </c>
      <c r="Q274" s="39"/>
      <c r="R274" s="40">
        <f t="shared" si="11"/>
        <v>1.1902493333333333E-2</v>
      </c>
      <c r="S274" s="20"/>
      <c r="T274" s="41"/>
      <c r="U274" s="42"/>
      <c r="V274" s="42"/>
      <c r="W274" s="41"/>
      <c r="X274" s="42"/>
      <c r="Y274" s="43"/>
    </row>
    <row r="275" spans="1:25" x14ac:dyDescent="0.2">
      <c r="A275" s="118"/>
      <c r="B275" s="117" t="s">
        <v>113</v>
      </c>
      <c r="C275" s="117">
        <v>22</v>
      </c>
      <c r="D275" s="17">
        <v>1064.376</v>
      </c>
      <c r="E275" s="18">
        <v>53.876565999999997</v>
      </c>
      <c r="F275" s="18">
        <v>524.85784699999999</v>
      </c>
      <c r="G275" s="18">
        <v>525.76238499999999</v>
      </c>
      <c r="H275" s="18">
        <v>53.629618000000001</v>
      </c>
      <c r="I275" s="18"/>
      <c r="J275" s="16">
        <f t="shared" si="10"/>
        <v>1.4897116111111112E-2</v>
      </c>
      <c r="L275" s="17"/>
      <c r="M275" s="18"/>
      <c r="N275" s="18"/>
      <c r="O275" s="18"/>
      <c r="P275" s="18"/>
      <c r="Q275" s="18"/>
      <c r="R275" s="19">
        <f t="shared" si="11"/>
        <v>0</v>
      </c>
      <c r="S275" s="20"/>
      <c r="T275" s="21" t="e">
        <f>bdrate($D275:$D278,E275:E278,$L275:$L278,M275:M278)</f>
        <v>#VALUE!</v>
      </c>
      <c r="U275" s="22" t="e">
        <f>bdrate($D275:$D278,F275:F278,$L275:$L278,N275:N278)</f>
        <v>#VALUE!</v>
      </c>
      <c r="V275" s="22" t="e">
        <f>bdrate($D275:$D278,G275:G278,$L275:$L278,O275:O278)</f>
        <v>#VALUE!</v>
      </c>
      <c r="W275" s="44" t="e">
        <f>bdrateOld($D275:$D278,E275:E278,$L275:$L278,M275:M278)</f>
        <v>#VALUE!</v>
      </c>
      <c r="X275" s="45" t="e">
        <f>bdrateOld($D275:$D278,F275:F278,$L275:$L278,N275:N278)</f>
        <v>#VALUE!</v>
      </c>
      <c r="Y275" s="46" t="e">
        <f>bdrateOld($D275:$D278,G275:G278,$L275:$L278,O275:O278)</f>
        <v>#VALUE!</v>
      </c>
    </row>
    <row r="276" spans="1:25" x14ac:dyDescent="0.2">
      <c r="A276" s="118"/>
      <c r="B276" s="118"/>
      <c r="C276" s="118">
        <v>27</v>
      </c>
      <c r="D276" s="28">
        <v>535.83199999999999</v>
      </c>
      <c r="E276" s="29">
        <v>51.899394999999998</v>
      </c>
      <c r="F276" s="29">
        <v>523.38289399999996</v>
      </c>
      <c r="G276" s="29">
        <v>524.67474400000003</v>
      </c>
      <c r="H276" s="29">
        <v>51.177033999999999</v>
      </c>
      <c r="I276" s="29"/>
      <c r="J276" s="27">
        <f t="shared" si="10"/>
        <v>1.4215842777777777E-2</v>
      </c>
      <c r="L276" s="28"/>
      <c r="M276" s="29"/>
      <c r="N276" s="29"/>
      <c r="O276" s="29"/>
      <c r="P276" s="29"/>
      <c r="Q276" s="29"/>
      <c r="R276" s="30">
        <f t="shared" si="11"/>
        <v>0</v>
      </c>
      <c r="S276" s="20"/>
      <c r="T276" s="31"/>
      <c r="U276" s="32"/>
      <c r="V276" s="32"/>
      <c r="W276" s="31"/>
      <c r="X276" s="32"/>
      <c r="Y276" s="33"/>
    </row>
    <row r="277" spans="1:25" x14ac:dyDescent="0.2">
      <c r="A277" s="118"/>
      <c r="B277" s="118" t="s">
        <v>126</v>
      </c>
      <c r="C277" s="118">
        <v>32</v>
      </c>
      <c r="D277" s="28">
        <v>266.82400000000001</v>
      </c>
      <c r="E277" s="29">
        <v>49.645023000000002</v>
      </c>
      <c r="F277" s="29">
        <v>522.09540300000003</v>
      </c>
      <c r="G277" s="29">
        <v>523.673452</v>
      </c>
      <c r="H277" s="29">
        <v>48.835089000000004</v>
      </c>
      <c r="I277" s="29"/>
      <c r="J277" s="27">
        <f t="shared" si="10"/>
        <v>1.3565302500000001E-2</v>
      </c>
      <c r="L277" s="28"/>
      <c r="M277" s="29"/>
      <c r="N277" s="29"/>
      <c r="O277" s="29"/>
      <c r="P277" s="29"/>
      <c r="Q277" s="29"/>
      <c r="R277" s="30">
        <f t="shared" si="11"/>
        <v>0</v>
      </c>
      <c r="S277" s="20"/>
      <c r="T277" s="31"/>
      <c r="U277" s="32"/>
      <c r="V277" s="32"/>
      <c r="W277" s="31"/>
      <c r="X277" s="32"/>
      <c r="Y277" s="33"/>
    </row>
    <row r="278" spans="1:25" ht="12.75" thickBot="1" x14ac:dyDescent="0.25">
      <c r="A278" s="118"/>
      <c r="B278" s="119"/>
      <c r="C278" s="119">
        <v>37</v>
      </c>
      <c r="D278" s="38">
        <v>136.26400000000001</v>
      </c>
      <c r="E278" s="39">
        <v>47.04515</v>
      </c>
      <c r="F278" s="39">
        <v>521.07769499999995</v>
      </c>
      <c r="G278" s="39">
        <v>522.60015999999996</v>
      </c>
      <c r="H278" s="39">
        <v>46.614457999999999</v>
      </c>
      <c r="I278" s="39"/>
      <c r="J278" s="37">
        <f t="shared" si="10"/>
        <v>1.2948460555555555E-2</v>
      </c>
      <c r="L278" s="38"/>
      <c r="M278" s="39"/>
      <c r="N278" s="39"/>
      <c r="O278" s="39"/>
      <c r="P278" s="39"/>
      <c r="Q278" s="39"/>
      <c r="R278" s="40">
        <f t="shared" si="11"/>
        <v>0</v>
      </c>
      <c r="S278" s="20"/>
      <c r="T278" s="41"/>
      <c r="U278" s="42"/>
      <c r="V278" s="42"/>
      <c r="W278" s="41"/>
      <c r="X278" s="42"/>
      <c r="Y278" s="43"/>
    </row>
    <row r="279" spans="1:25" x14ac:dyDescent="0.2">
      <c r="A279" s="24"/>
      <c r="B279" s="13" t="s">
        <v>115</v>
      </c>
      <c r="C279" s="13">
        <v>22</v>
      </c>
      <c r="D279" s="14">
        <v>124.288</v>
      </c>
      <c r="E279" s="15">
        <v>54.738422999999997</v>
      </c>
      <c r="F279" s="15"/>
      <c r="G279" s="15"/>
      <c r="H279" s="15"/>
      <c r="I279" s="15"/>
      <c r="J279" s="16">
        <f t="shared" si="10"/>
        <v>0</v>
      </c>
      <c r="L279" s="14"/>
      <c r="M279" s="15"/>
      <c r="N279" s="15"/>
      <c r="O279" s="15"/>
      <c r="P279" s="15"/>
      <c r="Q279" s="15"/>
      <c r="R279" s="16">
        <f t="shared" si="11"/>
        <v>0</v>
      </c>
      <c r="S279" s="20"/>
      <c r="T279" s="21" t="e">
        <f>bdrate($D279:$D282,E279:E282,$L279:$L282,M279:M282)</f>
        <v>#VALUE!</v>
      </c>
      <c r="U279" s="22" t="e">
        <f>bdrate($D279:$D282,F279:F282,$L279:$L282,N279:N282)</f>
        <v>#VALUE!</v>
      </c>
      <c r="V279" s="22" t="e">
        <f>bdrate($D279:$D282,G279:G282,$L279:$L282,O279:O282)</f>
        <v>#VALUE!</v>
      </c>
      <c r="W279" s="44" t="e">
        <f>bdrateOld($D279:$D282,E279:E282,$L279:$L282,M279:M282)</f>
        <v>#VALUE!</v>
      </c>
      <c r="X279" s="45" t="e">
        <f>bdrateOld($D279:$D282,F279:F282,$L279:$L282,N279:N282)</f>
        <v>#VALUE!</v>
      </c>
      <c r="Y279" s="46" t="e">
        <f>bdrateOld($D279:$D282,G279:G282,$L279:$L282,O279:O282)</f>
        <v>#VALUE!</v>
      </c>
    </row>
    <row r="280" spans="1:25" x14ac:dyDescent="0.2">
      <c r="A280" s="24"/>
      <c r="B280" s="24" t="s">
        <v>114</v>
      </c>
      <c r="C280" s="24">
        <v>27</v>
      </c>
      <c r="D280" s="25">
        <v>70.352000000000004</v>
      </c>
      <c r="E280" s="26">
        <v>52.757730000000002</v>
      </c>
      <c r="F280" s="26"/>
      <c r="G280" s="26"/>
      <c r="H280" s="26"/>
      <c r="I280" s="26"/>
      <c r="J280" s="27">
        <f t="shared" si="10"/>
        <v>0</v>
      </c>
      <c r="L280" s="25"/>
      <c r="M280" s="26"/>
      <c r="N280" s="26"/>
      <c r="O280" s="26"/>
      <c r="P280" s="26"/>
      <c r="Q280" s="26"/>
      <c r="R280" s="27">
        <f t="shared" si="11"/>
        <v>0</v>
      </c>
      <c r="S280" s="20"/>
      <c r="T280" s="31"/>
      <c r="U280" s="32"/>
      <c r="V280" s="32"/>
      <c r="W280" s="31"/>
      <c r="X280" s="32"/>
      <c r="Y280" s="33"/>
    </row>
    <row r="281" spans="1:25" x14ac:dyDescent="0.2">
      <c r="A281" s="24"/>
      <c r="B281" s="24"/>
      <c r="C281" s="24">
        <v>32</v>
      </c>
      <c r="D281" s="25">
        <v>39.92</v>
      </c>
      <c r="E281" s="26">
        <v>50.468888</v>
      </c>
      <c r="F281" s="26"/>
      <c r="G281" s="26"/>
      <c r="H281" s="26"/>
      <c r="I281" s="26"/>
      <c r="J281" s="27">
        <f t="shared" si="10"/>
        <v>0</v>
      </c>
      <c r="L281" s="25"/>
      <c r="M281" s="26"/>
      <c r="N281" s="26"/>
      <c r="O281" s="26"/>
      <c r="P281" s="26"/>
      <c r="Q281" s="26"/>
      <c r="R281" s="27">
        <f t="shared" si="11"/>
        <v>0</v>
      </c>
      <c r="S281" s="20"/>
      <c r="T281" s="31"/>
      <c r="U281" s="32"/>
      <c r="V281" s="32"/>
      <c r="W281" s="31"/>
      <c r="X281" s="32"/>
      <c r="Y281" s="33"/>
    </row>
    <row r="282" spans="1:25" ht="12.75" thickBot="1" x14ac:dyDescent="0.25">
      <c r="A282" s="24"/>
      <c r="B282" s="34"/>
      <c r="C282" s="34">
        <v>37</v>
      </c>
      <c r="D282" s="35">
        <v>21.056000000000001</v>
      </c>
      <c r="E282" s="36">
        <v>47.692222000000001</v>
      </c>
      <c r="F282" s="36"/>
      <c r="G282" s="36"/>
      <c r="H282" s="36"/>
      <c r="I282" s="36"/>
      <c r="J282" s="37">
        <f t="shared" si="10"/>
        <v>0</v>
      </c>
      <c r="L282" s="35"/>
      <c r="M282" s="36"/>
      <c r="N282" s="36"/>
      <c r="O282" s="36"/>
      <c r="P282" s="36"/>
      <c r="Q282" s="36"/>
      <c r="R282" s="37">
        <f t="shared" si="11"/>
        <v>0</v>
      </c>
      <c r="S282" s="20"/>
      <c r="T282" s="41"/>
      <c r="U282" s="42"/>
      <c r="V282" s="42"/>
      <c r="W282" s="41"/>
      <c r="X282" s="42"/>
      <c r="Y282" s="43"/>
    </row>
    <row r="283" spans="1:25" x14ac:dyDescent="0.2">
      <c r="A283" s="24"/>
      <c r="B283" s="13" t="s">
        <v>109</v>
      </c>
      <c r="C283" s="13">
        <v>22</v>
      </c>
      <c r="D283" s="14">
        <v>936.024</v>
      </c>
      <c r="E283" s="15">
        <v>53.057102</v>
      </c>
      <c r="F283" s="15">
        <v>49.725695000000002</v>
      </c>
      <c r="G283" s="15">
        <v>51.534768999999997</v>
      </c>
      <c r="H283" s="15">
        <v>51.226018000000003</v>
      </c>
      <c r="I283" s="15"/>
      <c r="J283" s="16">
        <f t="shared" si="10"/>
        <v>1.4229449444444445E-2</v>
      </c>
      <c r="L283" s="14"/>
      <c r="M283" s="15"/>
      <c r="N283" s="15"/>
      <c r="O283" s="15"/>
      <c r="P283" s="15"/>
      <c r="Q283" s="15"/>
      <c r="R283" s="16">
        <f t="shared" si="11"/>
        <v>0</v>
      </c>
      <c r="S283" s="20"/>
      <c r="T283" s="21" t="e">
        <f>bdrate($D283:$D286,E283:E286,$L283:$L286,M283:M286)</f>
        <v>#VALUE!</v>
      </c>
      <c r="U283" s="22" t="e">
        <f>bdrate($D283:$D286,F283:F286,$L283:$L286,N283:N286)</f>
        <v>#VALUE!</v>
      </c>
      <c r="V283" s="22" t="e">
        <f>bdrate($D283:$D286,G283:G286,$L283:$L286,O283:O286)</f>
        <v>#VALUE!</v>
      </c>
      <c r="W283" s="44" t="e">
        <f>bdrateOld($D283:$D286,E283:E286,$L283:$L286,M283:M286)</f>
        <v>#VALUE!</v>
      </c>
      <c r="X283" s="45" t="e">
        <f>bdrateOld($D283:$D286,F283:F286,$L283:$L286,N283:N286)</f>
        <v>#VALUE!</v>
      </c>
      <c r="Y283" s="46" t="e">
        <f>bdrateOld($D283:$D286,G283:G286,$L283:$L286,O283:O286)</f>
        <v>#VALUE!</v>
      </c>
    </row>
    <row r="284" spans="1:25" x14ac:dyDescent="0.2">
      <c r="A284" s="24"/>
      <c r="B284" s="24" t="s">
        <v>114</v>
      </c>
      <c r="C284" s="24">
        <v>27</v>
      </c>
      <c r="D284" s="25">
        <v>465.50400000000002</v>
      </c>
      <c r="E284" s="26">
        <v>51.059640000000002</v>
      </c>
      <c r="F284" s="26">
        <v>46.775787999999999</v>
      </c>
      <c r="G284" s="26">
        <v>49.359487999999999</v>
      </c>
      <c r="H284" s="26">
        <v>48.703761</v>
      </c>
      <c r="I284" s="26"/>
      <c r="J284" s="27">
        <f t="shared" si="10"/>
        <v>1.3528822500000001E-2</v>
      </c>
      <c r="L284" s="25"/>
      <c r="M284" s="26"/>
      <c r="N284" s="26"/>
      <c r="O284" s="26"/>
      <c r="P284" s="26"/>
      <c r="Q284" s="26"/>
      <c r="R284" s="27">
        <f t="shared" si="11"/>
        <v>0</v>
      </c>
      <c r="S284" s="20"/>
      <c r="T284" s="31"/>
      <c r="U284" s="32"/>
      <c r="V284" s="32"/>
      <c r="W284" s="31"/>
      <c r="X284" s="32"/>
      <c r="Y284" s="33"/>
    </row>
    <row r="285" spans="1:25" x14ac:dyDescent="0.2">
      <c r="A285" s="24"/>
      <c r="B285" s="24"/>
      <c r="C285" s="24">
        <v>32</v>
      </c>
      <c r="D285" s="25">
        <v>227.08799999999999</v>
      </c>
      <c r="E285" s="26">
        <v>48.849460000000001</v>
      </c>
      <c r="F285" s="26">
        <v>44.200806</v>
      </c>
      <c r="G285" s="26">
        <v>47.356904</v>
      </c>
      <c r="H285" s="26">
        <v>46.356138000000001</v>
      </c>
      <c r="I285" s="26"/>
      <c r="J285" s="27">
        <f t="shared" si="10"/>
        <v>1.2876705E-2</v>
      </c>
      <c r="L285" s="25"/>
      <c r="M285" s="26"/>
      <c r="N285" s="26"/>
      <c r="O285" s="26"/>
      <c r="P285" s="26"/>
      <c r="Q285" s="26"/>
      <c r="R285" s="27">
        <f t="shared" si="11"/>
        <v>0</v>
      </c>
      <c r="S285" s="20"/>
      <c r="T285" s="31"/>
      <c r="U285" s="32"/>
      <c r="V285" s="32"/>
      <c r="W285" s="31"/>
      <c r="X285" s="32"/>
      <c r="Y285" s="33"/>
    </row>
    <row r="286" spans="1:25" ht="12.75" thickBot="1" x14ac:dyDescent="0.25">
      <c r="A286" s="24"/>
      <c r="B286" s="34"/>
      <c r="C286" s="34">
        <v>37</v>
      </c>
      <c r="D286" s="35">
        <v>115.36</v>
      </c>
      <c r="E286" s="36">
        <v>46.375095999999999</v>
      </c>
      <c r="F286" s="36">
        <v>42.165390000000002</v>
      </c>
      <c r="G286" s="36">
        <v>45.210320000000003</v>
      </c>
      <c r="H286" s="36">
        <v>44.205734</v>
      </c>
      <c r="I286" s="36"/>
      <c r="J286" s="37">
        <f t="shared" si="10"/>
        <v>1.2279370555555556E-2</v>
      </c>
      <c r="L286" s="35"/>
      <c r="M286" s="36"/>
      <c r="N286" s="36"/>
      <c r="O286" s="36"/>
      <c r="P286" s="36"/>
      <c r="Q286" s="36"/>
      <c r="R286" s="37">
        <f t="shared" si="11"/>
        <v>0</v>
      </c>
      <c r="S286" s="20"/>
      <c r="T286" s="41"/>
      <c r="U286" s="42"/>
      <c r="V286" s="42"/>
      <c r="W286" s="41"/>
      <c r="X286" s="42"/>
      <c r="Y286" s="43"/>
    </row>
    <row r="287" spans="1:25" x14ac:dyDescent="0.2">
      <c r="A287" s="24"/>
      <c r="B287" s="13" t="s">
        <v>112</v>
      </c>
      <c r="C287" s="13">
        <v>22</v>
      </c>
      <c r="D287" s="14">
        <v>625.37599999999998</v>
      </c>
      <c r="E287" s="15">
        <v>53.040993999999998</v>
      </c>
      <c r="F287" s="15">
        <v>523.46753899999999</v>
      </c>
      <c r="G287" s="15">
        <v>524.71846100000005</v>
      </c>
      <c r="H287" s="15">
        <v>51.509995000000004</v>
      </c>
      <c r="I287" s="15"/>
      <c r="J287" s="16">
        <f t="shared" si="10"/>
        <v>1.4308331944444445E-2</v>
      </c>
      <c r="L287" s="14"/>
      <c r="M287" s="15"/>
      <c r="N287" s="15"/>
      <c r="O287" s="15"/>
      <c r="P287" s="15"/>
      <c r="Q287" s="15"/>
      <c r="R287" s="16">
        <f t="shared" si="11"/>
        <v>0</v>
      </c>
      <c r="S287" s="20"/>
      <c r="T287" s="21" t="e">
        <f>bdrate($D287:$D290,E287:E290,$L287:$L290,M287:M290)</f>
        <v>#VALUE!</v>
      </c>
      <c r="U287" s="22" t="e">
        <f>bdrate($D287:$D290,F287:F290,$L287:$L290,N287:N290)</f>
        <v>#VALUE!</v>
      </c>
      <c r="V287" s="22" t="e">
        <f>bdrate($D287:$D290,G287:G290,$L287:$L290,O287:O290)</f>
        <v>#VALUE!</v>
      </c>
      <c r="W287" s="44" t="e">
        <f>bdrateOld($D287:$D290,E287:E290,$L287:$L290,M287:M290)</f>
        <v>#VALUE!</v>
      </c>
      <c r="X287" s="45" t="e">
        <f>bdrateOld($D287:$D290,F287:F290,$L287:$L290,N287:N290)</f>
        <v>#VALUE!</v>
      </c>
      <c r="Y287" s="46" t="e">
        <f>bdrateOld($D287:$D290,G287:G290,$L287:$L290,O287:O290)</f>
        <v>#VALUE!</v>
      </c>
    </row>
    <row r="288" spans="1:25" x14ac:dyDescent="0.2">
      <c r="A288" s="24"/>
      <c r="B288" s="24"/>
      <c r="C288" s="24">
        <v>27</v>
      </c>
      <c r="D288" s="25">
        <v>276.56</v>
      </c>
      <c r="E288" s="26">
        <v>50.647246000000003</v>
      </c>
      <c r="F288" s="26">
        <v>521.83254999999997</v>
      </c>
      <c r="G288" s="26">
        <v>523.44773999999995</v>
      </c>
      <c r="H288" s="26">
        <v>48.590184000000001</v>
      </c>
      <c r="I288" s="26"/>
      <c r="J288" s="27">
        <f t="shared" si="10"/>
        <v>1.3497273333333334E-2</v>
      </c>
      <c r="L288" s="25"/>
      <c r="M288" s="26"/>
      <c r="N288" s="26"/>
      <c r="O288" s="26"/>
      <c r="P288" s="26"/>
      <c r="Q288" s="26"/>
      <c r="R288" s="27">
        <f t="shared" si="11"/>
        <v>0</v>
      </c>
      <c r="S288" s="20"/>
      <c r="T288" s="31"/>
      <c r="U288" s="32"/>
      <c r="V288" s="32"/>
      <c r="W288" s="31"/>
      <c r="X288" s="32"/>
      <c r="Y288" s="33"/>
    </row>
    <row r="289" spans="1:25" x14ac:dyDescent="0.2">
      <c r="A289" s="24"/>
      <c r="B289" s="24" t="s">
        <v>116</v>
      </c>
      <c r="C289" s="24">
        <v>32</v>
      </c>
      <c r="D289" s="25">
        <v>134.68799999999999</v>
      </c>
      <c r="E289" s="26">
        <v>47.804155000000002</v>
      </c>
      <c r="F289" s="26">
        <v>66.165441999999999</v>
      </c>
      <c r="G289" s="26">
        <v>67.566935999999998</v>
      </c>
      <c r="H289" s="26">
        <v>45.857064999999999</v>
      </c>
      <c r="I289" s="26"/>
      <c r="J289" s="27">
        <f t="shared" si="10"/>
        <v>1.273807361111111E-2</v>
      </c>
      <c r="L289" s="25"/>
      <c r="M289" s="26"/>
      <c r="N289" s="26"/>
      <c r="O289" s="26"/>
      <c r="P289" s="26"/>
      <c r="Q289" s="26"/>
      <c r="R289" s="27">
        <f t="shared" si="11"/>
        <v>0</v>
      </c>
      <c r="S289" s="20"/>
      <c r="T289" s="31"/>
      <c r="U289" s="32"/>
      <c r="V289" s="32"/>
      <c r="W289" s="31"/>
      <c r="X289" s="32"/>
      <c r="Y289" s="33"/>
    </row>
    <row r="290" spans="1:25" ht="12.75" thickBot="1" x14ac:dyDescent="0.25">
      <c r="A290" s="24"/>
      <c r="B290" s="34"/>
      <c r="C290" s="34">
        <v>37</v>
      </c>
      <c r="D290" s="35">
        <v>73.152000000000001</v>
      </c>
      <c r="E290" s="36">
        <v>44.799111000000003</v>
      </c>
      <c r="F290" s="36">
        <v>519.20154100000002</v>
      </c>
      <c r="G290" s="36">
        <v>520.37847999999997</v>
      </c>
      <c r="H290" s="36">
        <v>42.848976</v>
      </c>
      <c r="I290" s="36"/>
      <c r="J290" s="37">
        <f t="shared" si="10"/>
        <v>1.1902493333333333E-2</v>
      </c>
      <c r="L290" s="35"/>
      <c r="M290" s="36"/>
      <c r="N290" s="36"/>
      <c r="O290" s="36"/>
      <c r="P290" s="36"/>
      <c r="Q290" s="36"/>
      <c r="R290" s="37">
        <f t="shared" si="11"/>
        <v>0</v>
      </c>
      <c r="S290" s="20"/>
      <c r="T290" s="41"/>
      <c r="U290" s="42"/>
      <c r="V290" s="42"/>
      <c r="W290" s="41"/>
      <c r="X290" s="42"/>
      <c r="Y290" s="43"/>
    </row>
    <row r="291" spans="1:25" x14ac:dyDescent="0.2">
      <c r="A291" s="24"/>
      <c r="B291" s="13" t="s">
        <v>113</v>
      </c>
      <c r="C291" s="13">
        <v>22</v>
      </c>
      <c r="D291" s="14">
        <v>1056.9680000000001</v>
      </c>
      <c r="E291" s="15">
        <v>53.049138999999997</v>
      </c>
      <c r="F291" s="15">
        <v>65.941385999999994</v>
      </c>
      <c r="G291" s="15">
        <v>67.565186999999995</v>
      </c>
      <c r="H291" s="15">
        <v>53.482942999999999</v>
      </c>
      <c r="I291" s="15"/>
      <c r="J291" s="16">
        <f t="shared" si="10"/>
        <v>1.4856373055555556E-2</v>
      </c>
      <c r="L291" s="14"/>
      <c r="M291" s="15"/>
      <c r="N291" s="15"/>
      <c r="O291" s="15"/>
      <c r="P291" s="15"/>
      <c r="Q291" s="15"/>
      <c r="R291" s="16">
        <f t="shared" si="11"/>
        <v>0</v>
      </c>
      <c r="S291" s="20"/>
      <c r="T291" s="21" t="e">
        <f>bdrate($D291:$D294,E291:E294,$L291:$L294,M291:M294)</f>
        <v>#VALUE!</v>
      </c>
      <c r="U291" s="22" t="e">
        <f>bdrate($D291:$D294,F291:F294,$L291:$L294,N291:N294)</f>
        <v>#VALUE!</v>
      </c>
      <c r="V291" s="22" t="e">
        <f>bdrate($D291:$D294,G291:G294,$L291:$L294,O291:O294)</f>
        <v>#VALUE!</v>
      </c>
      <c r="W291" s="44" t="e">
        <f>bdrateOld($D291:$D294,E291:E294,$L291:$L294,M291:M294)</f>
        <v>#VALUE!</v>
      </c>
      <c r="X291" s="45" t="e">
        <f>bdrateOld($D291:$D294,F291:F294,$L291:$L294,N291:N294)</f>
        <v>#VALUE!</v>
      </c>
      <c r="Y291" s="46" t="e">
        <f>bdrateOld($D291:$D294,G291:G294,$L291:$L294,O291:O294)</f>
        <v>#VALUE!</v>
      </c>
    </row>
    <row r="292" spans="1:25" x14ac:dyDescent="0.2">
      <c r="A292" s="24"/>
      <c r="B292" s="24"/>
      <c r="C292" s="24">
        <v>27</v>
      </c>
      <c r="D292" s="25">
        <v>531.16800000000001</v>
      </c>
      <c r="E292" s="26">
        <v>50.507257000000003</v>
      </c>
      <c r="F292" s="26">
        <v>55.874898999999999</v>
      </c>
      <c r="G292" s="26">
        <v>57.331997999999999</v>
      </c>
      <c r="H292" s="26">
        <v>50.811042999999998</v>
      </c>
      <c r="I292" s="26"/>
      <c r="J292" s="27">
        <f t="shared" si="10"/>
        <v>1.4114178611111111E-2</v>
      </c>
      <c r="L292" s="25"/>
      <c r="M292" s="26"/>
      <c r="N292" s="26"/>
      <c r="O292" s="26"/>
      <c r="P292" s="26"/>
      <c r="Q292" s="26"/>
      <c r="R292" s="27">
        <f t="shared" si="11"/>
        <v>0</v>
      </c>
      <c r="S292" s="20"/>
      <c r="T292" s="31"/>
      <c r="U292" s="32"/>
      <c r="V292" s="32"/>
      <c r="W292" s="31"/>
      <c r="X292" s="32"/>
      <c r="Y292" s="33"/>
    </row>
    <row r="293" spans="1:25" x14ac:dyDescent="0.2">
      <c r="A293" s="24"/>
      <c r="B293" s="24" t="s">
        <v>116</v>
      </c>
      <c r="C293" s="24">
        <v>32</v>
      </c>
      <c r="D293" s="25">
        <v>258.22399999999999</v>
      </c>
      <c r="E293" s="26">
        <v>47.599485000000001</v>
      </c>
      <c r="F293" s="26">
        <v>50.311121</v>
      </c>
      <c r="G293" s="26">
        <v>49.783191000000002</v>
      </c>
      <c r="H293" s="26">
        <v>47.802858000000001</v>
      </c>
      <c r="I293" s="26"/>
      <c r="J293" s="27">
        <f t="shared" si="10"/>
        <v>1.3278571666666667E-2</v>
      </c>
      <c r="L293" s="25"/>
      <c r="M293" s="26"/>
      <c r="N293" s="26"/>
      <c r="O293" s="26"/>
      <c r="P293" s="26"/>
      <c r="Q293" s="26"/>
      <c r="R293" s="27">
        <f t="shared" si="11"/>
        <v>0</v>
      </c>
      <c r="S293" s="20"/>
      <c r="T293" s="31"/>
      <c r="U293" s="32"/>
      <c r="V293" s="32"/>
      <c r="W293" s="31"/>
      <c r="X293" s="32"/>
      <c r="Y293" s="33"/>
    </row>
    <row r="294" spans="1:25" ht="12.75" thickBot="1" x14ac:dyDescent="0.25">
      <c r="A294" s="24"/>
      <c r="B294" s="34"/>
      <c r="C294" s="34">
        <v>37</v>
      </c>
      <c r="D294" s="35">
        <v>133.256</v>
      </c>
      <c r="E294" s="36">
        <v>44.962414000000003</v>
      </c>
      <c r="F294" s="36">
        <v>43.348159000000003</v>
      </c>
      <c r="G294" s="36">
        <v>45.642133000000001</v>
      </c>
      <c r="H294" s="36">
        <v>44.398899999999998</v>
      </c>
      <c r="I294" s="36"/>
      <c r="J294" s="37">
        <f t="shared" si="10"/>
        <v>1.2333027777777778E-2</v>
      </c>
      <c r="L294" s="35"/>
      <c r="M294" s="36"/>
      <c r="N294" s="36"/>
      <c r="O294" s="36"/>
      <c r="P294" s="36"/>
      <c r="Q294" s="36"/>
      <c r="R294" s="37">
        <f t="shared" si="11"/>
        <v>0</v>
      </c>
      <c r="S294" s="20"/>
      <c r="T294" s="41"/>
      <c r="U294" s="42"/>
      <c r="V294" s="42"/>
      <c r="W294" s="41"/>
      <c r="X294" s="42"/>
      <c r="Y294" s="43"/>
    </row>
    <row r="295" spans="1:25" x14ac:dyDescent="0.2">
      <c r="A295" s="24"/>
      <c r="B295" s="13" t="s">
        <v>127</v>
      </c>
      <c r="C295" s="13">
        <v>22</v>
      </c>
      <c r="D295" s="14">
        <v>1518.056</v>
      </c>
      <c r="E295" s="15">
        <v>45.424334999999999</v>
      </c>
      <c r="F295" s="15"/>
      <c r="G295" s="15"/>
      <c r="H295" s="15"/>
      <c r="I295" s="15"/>
      <c r="J295" s="16">
        <f t="shared" si="10"/>
        <v>0</v>
      </c>
      <c r="L295" s="14"/>
      <c r="M295" s="15"/>
      <c r="N295" s="15"/>
      <c r="O295" s="15"/>
      <c r="P295" s="15"/>
      <c r="Q295" s="15"/>
      <c r="R295" s="16">
        <f t="shared" si="11"/>
        <v>0</v>
      </c>
      <c r="S295" s="20"/>
      <c r="T295" s="21" t="e">
        <f>bdrate($D295:$D298,E295:E298,$L295:$L298,M295:M298)</f>
        <v>#VALUE!</v>
      </c>
      <c r="U295" s="22" t="e">
        <f>bdrate($D295:$D298,F295:F298,$L295:$L298,N295:N298)</f>
        <v>#VALUE!</v>
      </c>
      <c r="V295" s="22" t="e">
        <f>bdrate($D295:$D298,G295:G298,$L295:$L298,O295:O298)</f>
        <v>#VALUE!</v>
      </c>
      <c r="W295" s="44" t="e">
        <f>bdrateOld($D295:$D298,E295:E298,$L295:$L298,M295:M298)</f>
        <v>#VALUE!</v>
      </c>
      <c r="X295" s="45" t="e">
        <f>bdrateOld($D295:$D298,F295:F298,$L295:$L298,N295:N298)</f>
        <v>#VALUE!</v>
      </c>
      <c r="Y295" s="46" t="e">
        <f>bdrateOld($D295:$D298,G295:G298,$L295:$L298,O295:O298)</f>
        <v>#VALUE!</v>
      </c>
    </row>
    <row r="296" spans="1:25" x14ac:dyDescent="0.2">
      <c r="A296" s="24"/>
      <c r="B296" s="152">
        <v>400</v>
      </c>
      <c r="C296" s="24">
        <v>27</v>
      </c>
      <c r="D296" s="25">
        <v>493.96800000000002</v>
      </c>
      <c r="E296" s="26">
        <v>43.392007</v>
      </c>
      <c r="F296" s="26"/>
      <c r="G296" s="26"/>
      <c r="H296" s="26"/>
      <c r="I296" s="26"/>
      <c r="J296" s="27">
        <f t="shared" si="10"/>
        <v>0</v>
      </c>
      <c r="L296" s="25"/>
      <c r="M296" s="26"/>
      <c r="N296" s="26"/>
      <c r="O296" s="26"/>
      <c r="P296" s="26"/>
      <c r="Q296" s="26"/>
      <c r="R296" s="27">
        <f t="shared" si="11"/>
        <v>0</v>
      </c>
      <c r="S296" s="20"/>
      <c r="T296" s="31"/>
      <c r="U296" s="32"/>
      <c r="V296" s="32"/>
      <c r="W296" s="31"/>
      <c r="X296" s="32"/>
      <c r="Y296" s="33"/>
    </row>
    <row r="297" spans="1:25" x14ac:dyDescent="0.2">
      <c r="A297" s="24"/>
      <c r="B297" s="24" t="s">
        <v>128</v>
      </c>
      <c r="C297" s="24">
        <v>32</v>
      </c>
      <c r="D297" s="25">
        <v>226.85599999999999</v>
      </c>
      <c r="E297" s="26">
        <v>41.806691000000001</v>
      </c>
      <c r="F297" s="26"/>
      <c r="G297" s="26"/>
      <c r="H297" s="26"/>
      <c r="I297" s="26"/>
      <c r="J297" s="27">
        <f t="shared" si="10"/>
        <v>0</v>
      </c>
      <c r="L297" s="25"/>
      <c r="M297" s="26"/>
      <c r="N297" s="26"/>
      <c r="O297" s="26"/>
      <c r="P297" s="26"/>
      <c r="Q297" s="26"/>
      <c r="R297" s="27">
        <f t="shared" si="11"/>
        <v>0</v>
      </c>
      <c r="S297" s="20"/>
      <c r="T297" s="31"/>
      <c r="U297" s="32"/>
      <c r="V297" s="32"/>
      <c r="W297" s="31"/>
      <c r="X297" s="32"/>
      <c r="Y297" s="33"/>
    </row>
    <row r="298" spans="1:25" ht="12.75" thickBot="1" x14ac:dyDescent="0.25">
      <c r="A298" s="24"/>
      <c r="B298" s="34"/>
      <c r="C298" s="34">
        <v>37</v>
      </c>
      <c r="D298" s="35">
        <v>123.568</v>
      </c>
      <c r="E298" s="36">
        <v>40.155669000000003</v>
      </c>
      <c r="F298" s="36"/>
      <c r="G298" s="36"/>
      <c r="H298" s="36"/>
      <c r="I298" s="36"/>
      <c r="J298" s="37">
        <f t="shared" si="10"/>
        <v>0</v>
      </c>
      <c r="L298" s="35"/>
      <c r="M298" s="36"/>
      <c r="N298" s="36"/>
      <c r="O298" s="36"/>
      <c r="P298" s="36"/>
      <c r="Q298" s="36"/>
      <c r="R298" s="37">
        <f t="shared" si="11"/>
        <v>0</v>
      </c>
      <c r="S298" s="20"/>
      <c r="T298" s="41"/>
      <c r="U298" s="42"/>
      <c r="V298" s="42"/>
      <c r="W298" s="41"/>
      <c r="X298" s="42"/>
      <c r="Y298" s="43"/>
    </row>
    <row r="299" spans="1:25" x14ac:dyDescent="0.2">
      <c r="A299" s="24"/>
      <c r="B299" s="13"/>
      <c r="C299" s="13">
        <v>22</v>
      </c>
      <c r="D299" s="14"/>
      <c r="E299" s="15"/>
      <c r="F299" s="15"/>
      <c r="G299" s="15"/>
      <c r="H299" s="15"/>
      <c r="I299" s="15"/>
      <c r="J299" s="16">
        <f t="shared" si="10"/>
        <v>0</v>
      </c>
      <c r="L299" s="14"/>
      <c r="M299" s="15"/>
      <c r="N299" s="15"/>
      <c r="O299" s="15"/>
      <c r="P299" s="15"/>
      <c r="Q299" s="15"/>
      <c r="R299" s="16">
        <f t="shared" si="11"/>
        <v>0</v>
      </c>
      <c r="S299" s="20"/>
      <c r="T299" s="21" t="e">
        <f>bdrate($D299:$D302,E299:E302,$L299:$L302,M299:M302)</f>
        <v>#VALUE!</v>
      </c>
      <c r="U299" s="22" t="e">
        <f>bdrate($D299:$D302,F299:F302,$L299:$L302,N299:N302)</f>
        <v>#VALUE!</v>
      </c>
      <c r="V299" s="22" t="e">
        <f>bdrate($D299:$D302,G299:G302,$L299:$L302,O299:O302)</f>
        <v>#VALUE!</v>
      </c>
      <c r="W299" s="44" t="e">
        <f>bdrateOld($D299:$D302,E299:E302,$L299:$L302,M299:M302)</f>
        <v>#VALUE!</v>
      </c>
      <c r="X299" s="45" t="e">
        <f>bdrateOld($D299:$D302,F299:F302,$L299:$L302,N299:N302)</f>
        <v>#VALUE!</v>
      </c>
      <c r="Y299" s="46" t="e">
        <f>bdrateOld($D299:$D302,G299:G302,$L299:$L302,O299:O302)</f>
        <v>#VALUE!</v>
      </c>
    </row>
    <row r="300" spans="1:25" x14ac:dyDescent="0.2">
      <c r="A300" s="24"/>
      <c r="B300" s="24"/>
      <c r="C300" s="24">
        <v>27</v>
      </c>
      <c r="D300" s="25"/>
      <c r="E300" s="26"/>
      <c r="F300" s="26"/>
      <c r="G300" s="26"/>
      <c r="H300" s="26"/>
      <c r="I300" s="26"/>
      <c r="J300" s="27">
        <f t="shared" si="10"/>
        <v>0</v>
      </c>
      <c r="L300" s="25"/>
      <c r="M300" s="26"/>
      <c r="N300" s="26"/>
      <c r="O300" s="26"/>
      <c r="P300" s="26"/>
      <c r="Q300" s="26"/>
      <c r="R300" s="27">
        <f t="shared" si="11"/>
        <v>0</v>
      </c>
      <c r="S300" s="20"/>
      <c r="T300" s="31"/>
      <c r="U300" s="32"/>
      <c r="V300" s="32"/>
      <c r="W300" s="31"/>
      <c r="X300" s="32"/>
      <c r="Y300" s="33"/>
    </row>
    <row r="301" spans="1:25" x14ac:dyDescent="0.2">
      <c r="A301" s="24"/>
      <c r="B301" s="24"/>
      <c r="C301" s="24">
        <v>32</v>
      </c>
      <c r="D301" s="25"/>
      <c r="E301" s="26"/>
      <c r="F301" s="26"/>
      <c r="G301" s="26"/>
      <c r="H301" s="26"/>
      <c r="I301" s="26"/>
      <c r="J301" s="27">
        <f t="shared" si="10"/>
        <v>0</v>
      </c>
      <c r="L301" s="25"/>
      <c r="M301" s="26"/>
      <c r="N301" s="26"/>
      <c r="O301" s="26"/>
      <c r="P301" s="26"/>
      <c r="Q301" s="26"/>
      <c r="R301" s="27">
        <f t="shared" si="11"/>
        <v>0</v>
      </c>
      <c r="S301" s="20"/>
      <c r="T301" s="31"/>
      <c r="U301" s="32"/>
      <c r="V301" s="32"/>
      <c r="W301" s="31"/>
      <c r="X301" s="32"/>
      <c r="Y301" s="33"/>
    </row>
    <row r="302" spans="1:25" ht="12.75" thickBot="1" x14ac:dyDescent="0.25">
      <c r="A302" s="24"/>
      <c r="B302" s="34"/>
      <c r="C302" s="34">
        <v>37</v>
      </c>
      <c r="D302" s="35"/>
      <c r="E302" s="36"/>
      <c r="F302" s="36"/>
      <c r="G302" s="36"/>
      <c r="H302" s="36"/>
      <c r="I302" s="36"/>
      <c r="J302" s="37">
        <f t="shared" si="10"/>
        <v>0</v>
      </c>
      <c r="L302" s="35"/>
      <c r="M302" s="36"/>
      <c r="N302" s="36"/>
      <c r="O302" s="36"/>
      <c r="P302" s="36"/>
      <c r="Q302" s="36"/>
      <c r="R302" s="37">
        <f t="shared" si="11"/>
        <v>0</v>
      </c>
      <c r="S302" s="20"/>
      <c r="T302" s="41"/>
      <c r="U302" s="42"/>
      <c r="V302" s="42"/>
      <c r="W302" s="41"/>
      <c r="X302" s="42"/>
      <c r="Y302" s="43"/>
    </row>
    <row r="303" spans="1:25" x14ac:dyDescent="0.2">
      <c r="A303" s="24"/>
      <c r="B303" s="13"/>
      <c r="C303" s="13">
        <v>22</v>
      </c>
      <c r="D303" s="14"/>
      <c r="E303" s="15"/>
      <c r="F303" s="15"/>
      <c r="G303" s="15"/>
      <c r="H303" s="15"/>
      <c r="I303" s="15"/>
      <c r="J303" s="16">
        <f t="shared" si="10"/>
        <v>0</v>
      </c>
      <c r="L303" s="14"/>
      <c r="M303" s="15"/>
      <c r="N303" s="15"/>
      <c r="O303" s="15"/>
      <c r="P303" s="15"/>
      <c r="Q303" s="15"/>
      <c r="R303" s="16">
        <f t="shared" si="11"/>
        <v>0</v>
      </c>
      <c r="S303" s="20"/>
      <c r="T303" s="21" t="e">
        <f>bdrate($D303:$D306,E303:E306,$L303:$L306,M303:M306)</f>
        <v>#VALUE!</v>
      </c>
      <c r="U303" s="22" t="e">
        <f>bdrate($D303:$D306,F303:F306,$L303:$L306,N303:N306)</f>
        <v>#VALUE!</v>
      </c>
      <c r="V303" s="22" t="e">
        <f>bdrate($D303:$D306,G303:G306,$L303:$L306,O303:O306)</f>
        <v>#VALUE!</v>
      </c>
      <c r="W303" s="44" t="e">
        <f>bdrateOld($D303:$D306,E303:E306,$L303:$L306,M303:M306)</f>
        <v>#VALUE!</v>
      </c>
      <c r="X303" s="45" t="e">
        <f>bdrateOld($D303:$D306,F303:F306,$L303:$L306,N303:N306)</f>
        <v>#VALUE!</v>
      </c>
      <c r="Y303" s="46" t="e">
        <f>bdrateOld($D303:$D306,G303:G306,$L303:$L306,O303:O306)</f>
        <v>#VALUE!</v>
      </c>
    </row>
    <row r="304" spans="1:25" x14ac:dyDescent="0.2">
      <c r="A304" s="24"/>
      <c r="B304" s="24"/>
      <c r="C304" s="24">
        <v>27</v>
      </c>
      <c r="D304" s="25"/>
      <c r="E304" s="26"/>
      <c r="F304" s="26"/>
      <c r="G304" s="26"/>
      <c r="H304" s="26"/>
      <c r="I304" s="26"/>
      <c r="J304" s="27">
        <f t="shared" si="10"/>
        <v>0</v>
      </c>
      <c r="L304" s="25"/>
      <c r="M304" s="26"/>
      <c r="N304" s="26"/>
      <c r="O304" s="26"/>
      <c r="P304" s="26"/>
      <c r="Q304" s="26"/>
      <c r="R304" s="27">
        <f t="shared" si="11"/>
        <v>0</v>
      </c>
      <c r="S304" s="20"/>
      <c r="T304" s="31"/>
      <c r="U304" s="32"/>
      <c r="V304" s="32"/>
      <c r="W304" s="31"/>
      <c r="X304" s="32"/>
      <c r="Y304" s="33"/>
    </row>
    <row r="305" spans="1:25" x14ac:dyDescent="0.2">
      <c r="A305" s="24"/>
      <c r="B305" s="24"/>
      <c r="C305" s="24">
        <v>32</v>
      </c>
      <c r="D305" s="25"/>
      <c r="E305" s="26"/>
      <c r="F305" s="26"/>
      <c r="G305" s="26"/>
      <c r="H305" s="26"/>
      <c r="I305" s="26"/>
      <c r="J305" s="27">
        <f t="shared" si="10"/>
        <v>0</v>
      </c>
      <c r="L305" s="25"/>
      <c r="M305" s="26"/>
      <c r="N305" s="26"/>
      <c r="O305" s="26"/>
      <c r="P305" s="26"/>
      <c r="Q305" s="26"/>
      <c r="R305" s="27">
        <f t="shared" si="11"/>
        <v>0</v>
      </c>
      <c r="S305" s="20"/>
      <c r="T305" s="31"/>
      <c r="U305" s="32"/>
      <c r="V305" s="32"/>
      <c r="W305" s="31"/>
      <c r="X305" s="32"/>
      <c r="Y305" s="33"/>
    </row>
    <row r="306" spans="1:25" ht="12.75" thickBot="1" x14ac:dyDescent="0.25">
      <c r="A306" s="24"/>
      <c r="B306" s="34"/>
      <c r="C306" s="34">
        <v>37</v>
      </c>
      <c r="D306" s="35"/>
      <c r="E306" s="36"/>
      <c r="F306" s="36"/>
      <c r="G306" s="36"/>
      <c r="H306" s="36"/>
      <c r="I306" s="36"/>
      <c r="J306" s="37">
        <f t="shared" si="10"/>
        <v>0</v>
      </c>
      <c r="L306" s="35"/>
      <c r="M306" s="36"/>
      <c r="N306" s="36"/>
      <c r="O306" s="36"/>
      <c r="P306" s="36"/>
      <c r="Q306" s="36"/>
      <c r="R306" s="37">
        <f t="shared" si="11"/>
        <v>0</v>
      </c>
      <c r="S306" s="20"/>
      <c r="T306" s="41"/>
      <c r="U306" s="42"/>
      <c r="V306" s="42"/>
      <c r="W306" s="41"/>
      <c r="X306" s="42"/>
      <c r="Y306" s="43"/>
    </row>
    <row r="307" spans="1:25" x14ac:dyDescent="0.2">
      <c r="A307" s="24"/>
      <c r="B307" s="13"/>
      <c r="C307" s="13">
        <v>22</v>
      </c>
      <c r="D307" s="14"/>
      <c r="E307" s="15"/>
      <c r="F307" s="15"/>
      <c r="G307" s="15"/>
      <c r="H307" s="15"/>
      <c r="I307" s="15"/>
      <c r="J307" s="16">
        <f t="shared" si="10"/>
        <v>0</v>
      </c>
      <c r="L307" s="14"/>
      <c r="M307" s="15"/>
      <c r="N307" s="15"/>
      <c r="O307" s="15"/>
      <c r="P307" s="15"/>
      <c r="Q307" s="15"/>
      <c r="R307" s="16">
        <f t="shared" si="11"/>
        <v>0</v>
      </c>
      <c r="S307" s="20"/>
      <c r="T307" s="21" t="e">
        <f>bdrate($D307:$D310,E307:E310,$L307:$L310,M307:M310)</f>
        <v>#VALUE!</v>
      </c>
      <c r="U307" s="22" t="e">
        <f>bdrate($D307:$D310,F307:F310,$L307:$L310,N307:N310)</f>
        <v>#VALUE!</v>
      </c>
      <c r="V307" s="22" t="e">
        <f>bdrate($D307:$D310,G307:G310,$L307:$L310,O307:O310)</f>
        <v>#VALUE!</v>
      </c>
      <c r="W307" s="44" t="e">
        <f>bdrateOld($D307:$D310,E307:E310,$L307:$L310,M307:M310)</f>
        <v>#VALUE!</v>
      </c>
      <c r="X307" s="45" t="e">
        <f>bdrateOld($D307:$D310,F307:F310,$L307:$L310,N307:N310)</f>
        <v>#VALUE!</v>
      </c>
      <c r="Y307" s="46" t="e">
        <f>bdrateOld($D307:$D310,G307:G310,$L307:$L310,O307:O310)</f>
        <v>#VALUE!</v>
      </c>
    </row>
    <row r="308" spans="1:25" x14ac:dyDescent="0.2">
      <c r="A308" s="24"/>
      <c r="B308" s="24"/>
      <c r="C308" s="24">
        <v>27</v>
      </c>
      <c r="D308" s="25"/>
      <c r="E308" s="26"/>
      <c r="F308" s="26"/>
      <c r="G308" s="26"/>
      <c r="H308" s="26"/>
      <c r="I308" s="26"/>
      <c r="J308" s="27">
        <f t="shared" si="10"/>
        <v>0</v>
      </c>
      <c r="L308" s="25"/>
      <c r="M308" s="26"/>
      <c r="N308" s="26"/>
      <c r="O308" s="26"/>
      <c r="P308" s="26"/>
      <c r="Q308" s="26"/>
      <c r="R308" s="27">
        <f t="shared" si="11"/>
        <v>0</v>
      </c>
      <c r="S308" s="20"/>
      <c r="T308" s="31"/>
      <c r="U308" s="32"/>
      <c r="V308" s="32"/>
      <c r="W308" s="31"/>
      <c r="X308" s="32"/>
      <c r="Y308" s="33"/>
    </row>
    <row r="309" spans="1:25" x14ac:dyDescent="0.2">
      <c r="A309" s="24"/>
      <c r="B309" s="24"/>
      <c r="C309" s="24">
        <v>32</v>
      </c>
      <c r="D309" s="25"/>
      <c r="E309" s="26"/>
      <c r="F309" s="26"/>
      <c r="G309" s="26"/>
      <c r="H309" s="26"/>
      <c r="I309" s="26"/>
      <c r="J309" s="27">
        <f t="shared" si="10"/>
        <v>0</v>
      </c>
      <c r="L309" s="25"/>
      <c r="M309" s="26"/>
      <c r="N309" s="26"/>
      <c r="O309" s="26"/>
      <c r="P309" s="26"/>
      <c r="Q309" s="26"/>
      <c r="R309" s="27">
        <f t="shared" si="11"/>
        <v>0</v>
      </c>
      <c r="S309" s="20"/>
      <c r="T309" s="31"/>
      <c r="U309" s="32"/>
      <c r="V309" s="32"/>
      <c r="W309" s="31"/>
      <c r="X309" s="32"/>
      <c r="Y309" s="33"/>
    </row>
    <row r="310" spans="1:25" ht="12.75" thickBot="1" x14ac:dyDescent="0.25">
      <c r="A310" s="24"/>
      <c r="B310" s="34"/>
      <c r="C310" s="34">
        <v>37</v>
      </c>
      <c r="D310" s="35"/>
      <c r="E310" s="36"/>
      <c r="F310" s="36"/>
      <c r="G310" s="36"/>
      <c r="H310" s="36"/>
      <c r="I310" s="36"/>
      <c r="J310" s="37">
        <f t="shared" si="10"/>
        <v>0</v>
      </c>
      <c r="L310" s="35"/>
      <c r="M310" s="36"/>
      <c r="N310" s="36"/>
      <c r="O310" s="36"/>
      <c r="P310" s="36"/>
      <c r="Q310" s="36"/>
      <c r="R310" s="37">
        <f t="shared" si="11"/>
        <v>0</v>
      </c>
      <c r="S310" s="20"/>
      <c r="T310" s="41"/>
      <c r="U310" s="42"/>
      <c r="V310" s="42"/>
      <c r="W310" s="41"/>
      <c r="X310" s="42"/>
      <c r="Y310" s="43"/>
    </row>
    <row r="311" spans="1:25" x14ac:dyDescent="0.2">
      <c r="A311" s="24"/>
      <c r="B311" s="13"/>
      <c r="C311" s="13">
        <v>22</v>
      </c>
      <c r="D311" s="14"/>
      <c r="E311" s="15"/>
      <c r="F311" s="15"/>
      <c r="G311" s="15"/>
      <c r="H311" s="15"/>
      <c r="I311" s="15"/>
      <c r="J311" s="16">
        <f t="shared" si="10"/>
        <v>0</v>
      </c>
      <c r="L311" s="14"/>
      <c r="M311" s="15"/>
      <c r="N311" s="15"/>
      <c r="O311" s="15"/>
      <c r="P311" s="15"/>
      <c r="Q311" s="15"/>
      <c r="R311" s="16">
        <f t="shared" si="11"/>
        <v>0</v>
      </c>
      <c r="S311" s="20"/>
      <c r="T311" s="21" t="e">
        <f>bdrate($D311:$D314,E311:E314,$L311:$L314,M311:M314)</f>
        <v>#VALUE!</v>
      </c>
      <c r="U311" s="22" t="e">
        <f>bdrate($D311:$D314,F311:F314,$L311:$L314,N311:N314)</f>
        <v>#VALUE!</v>
      </c>
      <c r="V311" s="22" t="e">
        <f>bdrate($D311:$D314,G311:G314,$L311:$L314,O311:O314)</f>
        <v>#VALUE!</v>
      </c>
      <c r="W311" s="44" t="e">
        <f>bdrateOld($D311:$D314,E311:E314,$L311:$L314,M311:M314)</f>
        <v>#VALUE!</v>
      </c>
      <c r="X311" s="45" t="e">
        <f>bdrateOld($D311:$D314,F311:F314,$L311:$L314,N311:N314)</f>
        <v>#VALUE!</v>
      </c>
      <c r="Y311" s="46" t="e">
        <f>bdrateOld($D311:$D314,G311:G314,$L311:$L314,O311:O314)</f>
        <v>#VALUE!</v>
      </c>
    </row>
    <row r="312" spans="1:25" x14ac:dyDescent="0.2">
      <c r="A312" s="24"/>
      <c r="B312" s="24"/>
      <c r="C312" s="24">
        <v>27</v>
      </c>
      <c r="D312" s="25"/>
      <c r="E312" s="26"/>
      <c r="F312" s="26"/>
      <c r="G312" s="26"/>
      <c r="H312" s="26"/>
      <c r="I312" s="26"/>
      <c r="J312" s="27">
        <f t="shared" si="10"/>
        <v>0</v>
      </c>
      <c r="L312" s="25"/>
      <c r="M312" s="26"/>
      <c r="N312" s="26"/>
      <c r="O312" s="26"/>
      <c r="P312" s="26"/>
      <c r="Q312" s="26"/>
      <c r="R312" s="27">
        <f t="shared" si="11"/>
        <v>0</v>
      </c>
      <c r="S312" s="20"/>
      <c r="T312" s="31"/>
      <c r="U312" s="32"/>
      <c r="V312" s="32"/>
      <c r="W312" s="31"/>
      <c r="X312" s="32"/>
      <c r="Y312" s="33"/>
    </row>
    <row r="313" spans="1:25" x14ac:dyDescent="0.2">
      <c r="A313" s="24"/>
      <c r="B313" s="24"/>
      <c r="C313" s="24">
        <v>32</v>
      </c>
      <c r="D313" s="25"/>
      <c r="E313" s="26"/>
      <c r="F313" s="26"/>
      <c r="G313" s="26"/>
      <c r="H313" s="26"/>
      <c r="I313" s="26"/>
      <c r="J313" s="27">
        <f t="shared" si="10"/>
        <v>0</v>
      </c>
      <c r="L313" s="25"/>
      <c r="M313" s="26"/>
      <c r="N313" s="26"/>
      <c r="O313" s="26"/>
      <c r="P313" s="26"/>
      <c r="Q313" s="26"/>
      <c r="R313" s="27">
        <f t="shared" si="11"/>
        <v>0</v>
      </c>
      <c r="S313" s="20"/>
      <c r="T313" s="31"/>
      <c r="U313" s="32"/>
      <c r="V313" s="32"/>
      <c r="W313" s="31"/>
      <c r="X313" s="32"/>
      <c r="Y313" s="33"/>
    </row>
    <row r="314" spans="1:25" ht="12.75" thickBot="1" x14ac:dyDescent="0.25">
      <c r="A314" s="34"/>
      <c r="B314" s="34"/>
      <c r="C314" s="34">
        <v>37</v>
      </c>
      <c r="D314" s="35"/>
      <c r="E314" s="36"/>
      <c r="F314" s="36"/>
      <c r="G314" s="36"/>
      <c r="H314" s="36"/>
      <c r="I314" s="36"/>
      <c r="J314" s="37">
        <f t="shared" si="10"/>
        <v>0</v>
      </c>
      <c r="L314" s="35"/>
      <c r="M314" s="36"/>
      <c r="N314" s="36"/>
      <c r="O314" s="36"/>
      <c r="P314" s="36"/>
      <c r="Q314" s="36"/>
      <c r="R314" s="37">
        <f t="shared" si="11"/>
        <v>0</v>
      </c>
      <c r="S314" s="20"/>
      <c r="T314" s="41"/>
      <c r="U314" s="42"/>
      <c r="V314" s="42"/>
      <c r="W314" s="41"/>
      <c r="X314" s="42"/>
      <c r="Y314" s="43"/>
    </row>
    <row r="315" spans="1:25" x14ac:dyDescent="0.2">
      <c r="A315" s="13" t="s">
        <v>123</v>
      </c>
      <c r="B315" s="13" t="s">
        <v>109</v>
      </c>
      <c r="C315" s="13">
        <v>22</v>
      </c>
      <c r="D315" s="17">
        <v>909.23199999999997</v>
      </c>
      <c r="E315" s="18">
        <v>50.303555000000003</v>
      </c>
      <c r="F315" s="18">
        <v>45.609690999999998</v>
      </c>
      <c r="G315" s="18">
        <v>45.586951999999997</v>
      </c>
      <c r="H315" s="18">
        <v>46.680266000000003</v>
      </c>
      <c r="I315" s="18"/>
      <c r="J315" s="16">
        <f>H315/3600</f>
        <v>1.2966740555555556E-2</v>
      </c>
      <c r="L315" s="17"/>
      <c r="M315" s="18"/>
      <c r="N315" s="18"/>
      <c r="O315" s="18"/>
      <c r="P315" s="18"/>
      <c r="Q315" s="18"/>
      <c r="R315" s="19">
        <f>P315/3600</f>
        <v>0</v>
      </c>
      <c r="S315" s="20"/>
      <c r="T315" s="21" t="e">
        <f>bdrate($D315:$D318,E315:E318,$L315:$L318,M315:M318)</f>
        <v>#VALUE!</v>
      </c>
      <c r="U315" s="22" t="e">
        <f>bdrate($D315:$D318,F315:F318,$L315:$L318,N315:N318)</f>
        <v>#VALUE!</v>
      </c>
      <c r="V315" s="23" t="e">
        <f>bdrate($D315:$D318,G315:G318,$L315:$L318,O315:O318)</f>
        <v>#VALUE!</v>
      </c>
      <c r="W315" s="21" t="e">
        <f>bdrateOld($D315:$D318,E315:E318,$L315:$L318,M315:M318)</f>
        <v>#VALUE!</v>
      </c>
      <c r="X315" s="22" t="e">
        <f>bdrateOld($D315:$D318,F315:F318,$L315:$L318,N315:N318)</f>
        <v>#VALUE!</v>
      </c>
      <c r="Y315" s="23" t="e">
        <f>bdrateOld($D315:$D318,G315:G318,$L315:$L318,O315:O318)</f>
        <v>#VALUE!</v>
      </c>
    </row>
    <row r="316" spans="1:25" x14ac:dyDescent="0.2">
      <c r="A316" s="24"/>
      <c r="B316" s="24" t="s">
        <v>110</v>
      </c>
      <c r="C316" s="24">
        <v>27</v>
      </c>
      <c r="D316" s="28">
        <v>174.096</v>
      </c>
      <c r="E316" s="29">
        <v>49.669199999999996</v>
      </c>
      <c r="F316" s="29">
        <v>44.235869000000001</v>
      </c>
      <c r="G316" s="29">
        <v>44.150426000000003</v>
      </c>
      <c r="H316" s="29">
        <v>45.378363</v>
      </c>
      <c r="I316" s="29"/>
      <c r="J316" s="27">
        <f t="shared" ref="J316:J366" si="12">H316/3600</f>
        <v>1.2605100833333334E-2</v>
      </c>
      <c r="L316" s="28"/>
      <c r="M316" s="29"/>
      <c r="N316" s="29"/>
      <c r="O316" s="29"/>
      <c r="P316" s="29"/>
      <c r="Q316" s="29"/>
      <c r="R316" s="30">
        <f t="shared" ref="R316:R366" si="13">P316/3600</f>
        <v>0</v>
      </c>
      <c r="S316" s="20"/>
      <c r="T316" s="31"/>
      <c r="U316" s="32"/>
      <c r="V316" s="33"/>
      <c r="W316" s="31"/>
      <c r="X316" s="32"/>
      <c r="Y316" s="33"/>
    </row>
    <row r="317" spans="1:25" x14ac:dyDescent="0.2">
      <c r="A317" s="24"/>
      <c r="B317" s="24"/>
      <c r="C317" s="24">
        <v>32</v>
      </c>
      <c r="D317" s="28">
        <v>78.335999999999999</v>
      </c>
      <c r="E317" s="29">
        <v>48.676561</v>
      </c>
      <c r="F317" s="29">
        <v>43.832720000000002</v>
      </c>
      <c r="G317" s="29">
        <v>43.716768000000002</v>
      </c>
      <c r="H317" s="29">
        <v>44.884275000000002</v>
      </c>
      <c r="I317" s="29"/>
      <c r="J317" s="27">
        <f t="shared" si="12"/>
        <v>1.2467854166666667E-2</v>
      </c>
      <c r="L317" s="28"/>
      <c r="M317" s="29"/>
      <c r="N317" s="29"/>
      <c r="O317" s="29"/>
      <c r="P317" s="29"/>
      <c r="Q317" s="29"/>
      <c r="R317" s="30">
        <f t="shared" si="13"/>
        <v>0</v>
      </c>
      <c r="S317" s="20"/>
      <c r="T317" s="31"/>
      <c r="U317" s="32"/>
      <c r="V317" s="33"/>
      <c r="W317" s="31"/>
      <c r="X317" s="32"/>
      <c r="Y317" s="33"/>
    </row>
    <row r="318" spans="1:25" ht="12.75" thickBot="1" x14ac:dyDescent="0.25">
      <c r="A318" s="24"/>
      <c r="B318" s="34"/>
      <c r="C318" s="34">
        <v>37</v>
      </c>
      <c r="D318" s="38">
        <v>37.488</v>
      </c>
      <c r="E318" s="39">
        <v>47.097807000000003</v>
      </c>
      <c r="F318" s="39">
        <v>43.259070000000001</v>
      </c>
      <c r="G318" s="39">
        <v>43.157755000000002</v>
      </c>
      <c r="H318" s="39">
        <v>44.162135999999997</v>
      </c>
      <c r="I318" s="39"/>
      <c r="J318" s="37">
        <f t="shared" si="12"/>
        <v>1.2267259999999999E-2</v>
      </c>
      <c r="L318" s="38"/>
      <c r="M318" s="39"/>
      <c r="N318" s="39"/>
      <c r="O318" s="39"/>
      <c r="P318" s="39"/>
      <c r="Q318" s="39"/>
      <c r="R318" s="40">
        <f t="shared" si="13"/>
        <v>0</v>
      </c>
      <c r="S318" s="20"/>
      <c r="T318" s="41"/>
      <c r="U318" s="42"/>
      <c r="V318" s="43"/>
      <c r="W318" s="41"/>
      <c r="X318" s="42"/>
      <c r="Y318" s="43"/>
    </row>
    <row r="319" spans="1:25" x14ac:dyDescent="0.2">
      <c r="A319" s="24"/>
      <c r="B319" s="13" t="s">
        <v>111</v>
      </c>
      <c r="C319" s="13">
        <v>22</v>
      </c>
      <c r="D319" s="17">
        <v>5995.5280000000002</v>
      </c>
      <c r="E319" s="18">
        <v>45.42024</v>
      </c>
      <c r="F319" s="18">
        <v>43.804004999999997</v>
      </c>
      <c r="G319" s="18">
        <v>43.481990000000003</v>
      </c>
      <c r="H319" s="18">
        <v>44.156359000000002</v>
      </c>
      <c r="I319" s="18"/>
      <c r="J319" s="16">
        <f t="shared" si="12"/>
        <v>1.2265655277777779E-2</v>
      </c>
      <c r="L319" s="17"/>
      <c r="M319" s="18"/>
      <c r="N319" s="18"/>
      <c r="O319" s="18"/>
      <c r="P319" s="18"/>
      <c r="Q319" s="18"/>
      <c r="R319" s="19">
        <f t="shared" si="13"/>
        <v>0</v>
      </c>
      <c r="S319" s="20"/>
      <c r="T319" s="21" t="e">
        <f>bdrate($D319:$D322,E319:E322,$L319:$L322,M319:M322)</f>
        <v>#VALUE!</v>
      </c>
      <c r="U319" s="22" t="e">
        <f>bdrate($D319:$D322,F319:F322,$L319:$L322,N319:N322)</f>
        <v>#VALUE!</v>
      </c>
      <c r="V319" s="22" t="e">
        <f>bdrate($D319:$D322,G319:G322,$L319:$L322,O319:O322)</f>
        <v>#VALUE!</v>
      </c>
      <c r="W319" s="44" t="e">
        <f>bdrateOld($D319:$D322,E319:E322,$L319:$L322,M319:M322)</f>
        <v>#VALUE!</v>
      </c>
      <c r="X319" s="45" t="e">
        <f>bdrateOld($D319:$D322,F319:F322,$L319:$L322,N319:N322)</f>
        <v>#VALUE!</v>
      </c>
      <c r="Y319" s="46" t="e">
        <f>bdrateOld($D319:$D322,G319:G322,$L319:$L322,O319:O322)</f>
        <v>#VALUE!</v>
      </c>
    </row>
    <row r="320" spans="1:25" x14ac:dyDescent="0.2">
      <c r="A320" s="24"/>
      <c r="B320" s="24"/>
      <c r="C320" s="24">
        <v>27</v>
      </c>
      <c r="D320" s="28">
        <v>2499.7759999999998</v>
      </c>
      <c r="E320" s="29">
        <v>42.968857</v>
      </c>
      <c r="F320" s="29">
        <v>40.238368999999999</v>
      </c>
      <c r="G320" s="29">
        <v>39.833387000000002</v>
      </c>
      <c r="H320" s="29">
        <v>40.808354000000001</v>
      </c>
      <c r="I320" s="29"/>
      <c r="J320" s="27">
        <f t="shared" si="12"/>
        <v>1.1335653888888889E-2</v>
      </c>
      <c r="L320" s="28"/>
      <c r="M320" s="29"/>
      <c r="N320" s="29"/>
      <c r="O320" s="29"/>
      <c r="P320" s="29"/>
      <c r="Q320" s="29"/>
      <c r="R320" s="30">
        <f t="shared" si="13"/>
        <v>0</v>
      </c>
      <c r="S320" s="20"/>
      <c r="T320" s="31"/>
      <c r="U320" s="32"/>
      <c r="V320" s="32"/>
      <c r="W320" s="31"/>
      <c r="X320" s="32"/>
      <c r="Y320" s="33"/>
    </row>
    <row r="321" spans="1:25" x14ac:dyDescent="0.2">
      <c r="A321" s="24"/>
      <c r="B321" s="24"/>
      <c r="C321" s="24">
        <v>32</v>
      </c>
      <c r="D321" s="28">
        <v>804.30399999999997</v>
      </c>
      <c r="E321" s="29">
        <v>41.476410000000001</v>
      </c>
      <c r="F321" s="29">
        <v>37.588952999999997</v>
      </c>
      <c r="G321" s="29">
        <v>37.048518999999999</v>
      </c>
      <c r="H321" s="29">
        <v>38.309995999999998</v>
      </c>
      <c r="I321" s="29"/>
      <c r="J321" s="27">
        <f t="shared" si="12"/>
        <v>1.0641665555555554E-2</v>
      </c>
      <c r="L321" s="28"/>
      <c r="M321" s="29"/>
      <c r="N321" s="29"/>
      <c r="O321" s="29"/>
      <c r="P321" s="29"/>
      <c r="Q321" s="29"/>
      <c r="R321" s="30">
        <f t="shared" si="13"/>
        <v>0</v>
      </c>
      <c r="S321" s="20"/>
      <c r="T321" s="31"/>
      <c r="U321" s="47"/>
      <c r="V321" s="32"/>
      <c r="W321" s="31"/>
      <c r="X321" s="32"/>
      <c r="Y321" s="33"/>
    </row>
    <row r="322" spans="1:25" ht="12.75" thickBot="1" x14ac:dyDescent="0.25">
      <c r="A322" s="24"/>
      <c r="B322" s="34"/>
      <c r="C322" s="34">
        <v>37</v>
      </c>
      <c r="D322" s="38">
        <v>240.06399999999999</v>
      </c>
      <c r="E322" s="39">
        <v>40.344273000000001</v>
      </c>
      <c r="F322" s="39">
        <v>36.023040000000002</v>
      </c>
      <c r="G322" s="39">
        <v>35.307017999999999</v>
      </c>
      <c r="H322" s="39">
        <v>36.730617000000002</v>
      </c>
      <c r="I322" s="39"/>
      <c r="J322" s="37">
        <f t="shared" si="12"/>
        <v>1.0202949166666668E-2</v>
      </c>
      <c r="L322" s="38"/>
      <c r="M322" s="39"/>
      <c r="N322" s="39"/>
      <c r="O322" s="39"/>
      <c r="P322" s="39"/>
      <c r="Q322" s="39"/>
      <c r="R322" s="40">
        <f t="shared" si="13"/>
        <v>0</v>
      </c>
      <c r="S322" s="20"/>
      <c r="T322" s="41"/>
      <c r="U322" s="42"/>
      <c r="V322" s="42"/>
      <c r="W322" s="41"/>
      <c r="X322" s="42"/>
      <c r="Y322" s="43"/>
    </row>
    <row r="323" spans="1:25" x14ac:dyDescent="0.2">
      <c r="A323" s="118"/>
      <c r="B323" s="117" t="s">
        <v>112</v>
      </c>
      <c r="C323" s="117">
        <v>22</v>
      </c>
      <c r="D323" s="17">
        <v>4876.24</v>
      </c>
      <c r="E323" s="18">
        <v>50.026252999999997</v>
      </c>
      <c r="F323" s="18">
        <v>522.535797</v>
      </c>
      <c r="G323" s="18">
        <v>523.30044599999997</v>
      </c>
      <c r="H323" s="18">
        <v>49.155067000000003</v>
      </c>
      <c r="I323" s="18"/>
      <c r="J323" s="16">
        <f t="shared" si="12"/>
        <v>1.3654185277777779E-2</v>
      </c>
      <c r="L323" s="14">
        <v>3163.6080000000002</v>
      </c>
      <c r="M323" s="15">
        <v>48.891050999999997</v>
      </c>
      <c r="N323" s="15">
        <v>520.99733500000002</v>
      </c>
      <c r="O323" s="15">
        <v>521.72895600000004</v>
      </c>
      <c r="P323" s="15">
        <v>46.440463000000001</v>
      </c>
      <c r="Q323" s="18"/>
      <c r="R323" s="19">
        <f t="shared" si="13"/>
        <v>1.2900128611111112E-2</v>
      </c>
      <c r="S323" s="20"/>
      <c r="T323" s="21">
        <f>bdrate($D323:$D326,E323:E326,$L323:$L326,M323:M326)</f>
        <v>-0.29513377217602488</v>
      </c>
      <c r="U323" s="22">
        <f>bdrate($D323:$D326,F323:F326,$L323:$L326,N323:N326)</f>
        <v>-0.97472133798234351</v>
      </c>
      <c r="V323" s="22">
        <f>bdrate($D323:$D326,G323:G326,$L323:$L326,O323:O326)</f>
        <v>-0.96935566149396879</v>
      </c>
      <c r="W323" s="44">
        <f>bdrateOld($D323:$D326,E323:E326,$L323:$L326,M323:M326)</f>
        <v>-0.28702285126479155</v>
      </c>
      <c r="X323" s="45">
        <f>bdrateOld($D323:$D326,F323:F326,$L323:$L326,N323:N326)</f>
        <v>8.9137615509993662E-2</v>
      </c>
      <c r="Y323" s="46">
        <f>bdrateOld($D323:$D326,G323:G326,$L323:$L326,O323:O326)</f>
        <v>1.0349990607869297</v>
      </c>
    </row>
    <row r="324" spans="1:25" x14ac:dyDescent="0.2">
      <c r="A324" s="118"/>
      <c r="B324" s="118"/>
      <c r="C324" s="118">
        <v>27</v>
      </c>
      <c r="D324" s="28">
        <v>2696.4960000000001</v>
      </c>
      <c r="E324" s="29">
        <v>47.538088000000002</v>
      </c>
      <c r="F324" s="29">
        <v>65.856774000000001</v>
      </c>
      <c r="G324" s="29">
        <v>66.691720000000004</v>
      </c>
      <c r="H324" s="29">
        <v>45.843138000000003</v>
      </c>
      <c r="I324" s="29"/>
      <c r="J324" s="27">
        <f t="shared" si="12"/>
        <v>1.2734205E-2</v>
      </c>
      <c r="L324" s="25">
        <v>1326.8</v>
      </c>
      <c r="M324" s="26">
        <v>46.269486999999998</v>
      </c>
      <c r="N324" s="26">
        <v>518.67477499999995</v>
      </c>
      <c r="O324" s="26">
        <v>519.72326199999998</v>
      </c>
      <c r="P324" s="26">
        <v>42.347442999999998</v>
      </c>
      <c r="Q324" s="29"/>
      <c r="R324" s="30">
        <f t="shared" si="13"/>
        <v>1.1763178611111111E-2</v>
      </c>
      <c r="S324" s="20"/>
      <c r="T324" s="31"/>
      <c r="U324" s="32"/>
      <c r="V324" s="32"/>
      <c r="W324" s="31"/>
      <c r="X324" s="32"/>
      <c r="Y324" s="33"/>
    </row>
    <row r="325" spans="1:25" x14ac:dyDescent="0.2">
      <c r="A325" s="118"/>
      <c r="B325" s="118" t="s">
        <v>126</v>
      </c>
      <c r="C325" s="118">
        <v>32</v>
      </c>
      <c r="D325" s="28">
        <v>1312.32</v>
      </c>
      <c r="E325" s="29">
        <v>45.425581000000001</v>
      </c>
      <c r="F325" s="29">
        <v>518.896703</v>
      </c>
      <c r="G325" s="29">
        <v>519.97649799999999</v>
      </c>
      <c r="H325" s="29">
        <v>42.666752000000002</v>
      </c>
      <c r="I325" s="29"/>
      <c r="J325" s="27">
        <f t="shared" si="12"/>
        <v>1.1851875555555556E-2</v>
      </c>
      <c r="L325" s="25">
        <v>428.84</v>
      </c>
      <c r="M325" s="26">
        <v>44.243827000000003</v>
      </c>
      <c r="N325" s="26">
        <v>516.60971400000005</v>
      </c>
      <c r="O325" s="26">
        <v>518.41353500000002</v>
      </c>
      <c r="P325" s="26">
        <v>38.939704999999996</v>
      </c>
      <c r="Q325" s="29"/>
      <c r="R325" s="30">
        <f t="shared" si="13"/>
        <v>1.0816584722222222E-2</v>
      </c>
      <c r="S325" s="20"/>
      <c r="T325" s="31"/>
      <c r="U325" s="32"/>
      <c r="V325" s="32"/>
      <c r="W325" s="31"/>
      <c r="X325" s="32"/>
      <c r="Y325" s="33"/>
    </row>
    <row r="326" spans="1:25" ht="12.75" thickBot="1" x14ac:dyDescent="0.25">
      <c r="A326" s="118"/>
      <c r="B326" s="119"/>
      <c r="C326" s="119">
        <v>37</v>
      </c>
      <c r="D326" s="38">
        <v>536.79999999999995</v>
      </c>
      <c r="E326" s="39">
        <v>43.631379000000003</v>
      </c>
      <c r="F326" s="39">
        <v>517.21828500000004</v>
      </c>
      <c r="G326" s="39">
        <v>518.81058099999996</v>
      </c>
      <c r="H326" s="39">
        <v>39.864207999999998</v>
      </c>
      <c r="I326" s="39"/>
      <c r="J326" s="37">
        <f t="shared" si="12"/>
        <v>1.107339111111111E-2</v>
      </c>
      <c r="L326" s="35">
        <v>134.352</v>
      </c>
      <c r="M326" s="36">
        <v>42.311585999999998</v>
      </c>
      <c r="N326" s="36">
        <v>515.33166700000004</v>
      </c>
      <c r="O326" s="36">
        <v>517.91349400000001</v>
      </c>
      <c r="P326" s="36">
        <v>36.822197000000003</v>
      </c>
      <c r="Q326" s="39"/>
      <c r="R326" s="40">
        <f t="shared" si="13"/>
        <v>1.0228388055555556E-2</v>
      </c>
      <c r="S326" s="20"/>
      <c r="T326" s="41"/>
      <c r="U326" s="42"/>
      <c r="V326" s="42"/>
      <c r="W326" s="41"/>
      <c r="X326" s="42"/>
      <c r="Y326" s="43"/>
    </row>
    <row r="327" spans="1:25" x14ac:dyDescent="0.2">
      <c r="A327" s="118"/>
      <c r="B327" s="117" t="s">
        <v>113</v>
      </c>
      <c r="C327" s="117">
        <v>22</v>
      </c>
      <c r="D327" s="17">
        <v>4876.24</v>
      </c>
      <c r="E327" s="18">
        <v>50.026252999999997</v>
      </c>
      <c r="F327" s="18">
        <v>522.535797</v>
      </c>
      <c r="G327" s="18">
        <v>523.30044599999997</v>
      </c>
      <c r="H327" s="18">
        <v>49.155067000000003</v>
      </c>
      <c r="I327" s="18"/>
      <c r="J327" s="16">
        <f t="shared" si="12"/>
        <v>1.3654185277777779E-2</v>
      </c>
      <c r="L327" s="17"/>
      <c r="M327" s="18"/>
      <c r="N327" s="18"/>
      <c r="O327" s="18"/>
      <c r="P327" s="18"/>
      <c r="Q327" s="18"/>
      <c r="R327" s="19">
        <f t="shared" si="13"/>
        <v>0</v>
      </c>
      <c r="S327" s="20"/>
      <c r="T327" s="21" t="e">
        <f>bdrate($D327:$D330,E327:E330,$L327:$L330,M327:M330)</f>
        <v>#VALUE!</v>
      </c>
      <c r="U327" s="22" t="e">
        <f>bdrate($D327:$D330,F327:F330,$L327:$L330,N327:N330)</f>
        <v>#VALUE!</v>
      </c>
      <c r="V327" s="22" t="e">
        <f>bdrate($D327:$D330,G327:G330,$L327:$L330,O327:O330)</f>
        <v>#VALUE!</v>
      </c>
      <c r="W327" s="44" t="e">
        <f>bdrateOld($D327:$D330,E327:E330,$L327:$L330,M327:M330)</f>
        <v>#VALUE!</v>
      </c>
      <c r="X327" s="45" t="e">
        <f>bdrateOld($D327:$D330,F327:F330,$L327:$L330,N327:N330)</f>
        <v>#VALUE!</v>
      </c>
      <c r="Y327" s="46" t="e">
        <f>bdrateOld($D327:$D330,G327:G330,$L327:$L330,O327:O330)</f>
        <v>#VALUE!</v>
      </c>
    </row>
    <row r="328" spans="1:25" x14ac:dyDescent="0.2">
      <c r="A328" s="118"/>
      <c r="B328" s="118"/>
      <c r="C328" s="118">
        <v>27</v>
      </c>
      <c r="D328" s="28">
        <v>2696.4960000000001</v>
      </c>
      <c r="E328" s="29">
        <v>47.538088000000002</v>
      </c>
      <c r="F328" s="29">
        <v>65.856774000000001</v>
      </c>
      <c r="G328" s="29">
        <v>66.691720000000004</v>
      </c>
      <c r="H328" s="29">
        <v>45.843138000000003</v>
      </c>
      <c r="I328" s="29"/>
      <c r="J328" s="27">
        <f t="shared" si="12"/>
        <v>1.2734205E-2</v>
      </c>
      <c r="L328" s="28"/>
      <c r="M328" s="29"/>
      <c r="N328" s="29"/>
      <c r="O328" s="29"/>
      <c r="P328" s="29"/>
      <c r="Q328" s="29"/>
      <c r="R328" s="30">
        <f t="shared" si="13"/>
        <v>0</v>
      </c>
      <c r="S328" s="20"/>
      <c r="T328" s="31"/>
      <c r="U328" s="32"/>
      <c r="V328" s="32"/>
      <c r="W328" s="31"/>
      <c r="X328" s="32"/>
      <c r="Y328" s="33"/>
    </row>
    <row r="329" spans="1:25" x14ac:dyDescent="0.2">
      <c r="A329" s="118"/>
      <c r="B329" s="118" t="s">
        <v>126</v>
      </c>
      <c r="C329" s="118">
        <v>32</v>
      </c>
      <c r="D329" s="28">
        <v>1312.32</v>
      </c>
      <c r="E329" s="29">
        <v>45.425581000000001</v>
      </c>
      <c r="F329" s="29">
        <v>518.896703</v>
      </c>
      <c r="G329" s="29">
        <v>519.97649799999999</v>
      </c>
      <c r="H329" s="29">
        <v>42.666752000000002</v>
      </c>
      <c r="I329" s="29"/>
      <c r="J329" s="27">
        <f t="shared" si="12"/>
        <v>1.1851875555555556E-2</v>
      </c>
      <c r="L329" s="28"/>
      <c r="M329" s="29"/>
      <c r="N329" s="29"/>
      <c r="O329" s="29"/>
      <c r="P329" s="29"/>
      <c r="Q329" s="29"/>
      <c r="R329" s="30">
        <f t="shared" si="13"/>
        <v>0</v>
      </c>
      <c r="S329" s="20"/>
      <c r="T329" s="31"/>
      <c r="U329" s="32"/>
      <c r="V329" s="32"/>
      <c r="W329" s="31"/>
      <c r="X329" s="32"/>
      <c r="Y329" s="33"/>
    </row>
    <row r="330" spans="1:25" ht="12.75" thickBot="1" x14ac:dyDescent="0.25">
      <c r="A330" s="118"/>
      <c r="B330" s="119"/>
      <c r="C330" s="119">
        <v>37</v>
      </c>
      <c r="D330" s="38">
        <v>536.79999999999995</v>
      </c>
      <c r="E330" s="39">
        <v>43.631379000000003</v>
      </c>
      <c r="F330" s="39">
        <v>517.21828500000004</v>
      </c>
      <c r="G330" s="39">
        <v>518.81058099999996</v>
      </c>
      <c r="H330" s="39">
        <v>39.864207999999998</v>
      </c>
      <c r="I330" s="39"/>
      <c r="J330" s="37">
        <f t="shared" si="12"/>
        <v>1.107339111111111E-2</v>
      </c>
      <c r="L330" s="38"/>
      <c r="M330" s="39"/>
      <c r="N330" s="39"/>
      <c r="O330" s="39"/>
      <c r="P330" s="39"/>
      <c r="Q330" s="39"/>
      <c r="R330" s="40">
        <f t="shared" si="13"/>
        <v>0</v>
      </c>
      <c r="S330" s="20"/>
      <c r="T330" s="41"/>
      <c r="U330" s="42"/>
      <c r="V330" s="42"/>
      <c r="W330" s="41"/>
      <c r="X330" s="42"/>
      <c r="Y330" s="43"/>
    </row>
    <row r="331" spans="1:25" x14ac:dyDescent="0.2">
      <c r="A331" s="24"/>
      <c r="B331" s="13" t="s">
        <v>115</v>
      </c>
      <c r="C331" s="13">
        <v>22</v>
      </c>
      <c r="D331" s="14">
        <v>349.56799999999998</v>
      </c>
      <c r="E331" s="15">
        <v>50.591808</v>
      </c>
      <c r="F331" s="15"/>
      <c r="G331" s="15"/>
      <c r="H331" s="15"/>
      <c r="I331" s="15"/>
      <c r="J331" s="16">
        <f t="shared" si="12"/>
        <v>0</v>
      </c>
      <c r="L331" s="14"/>
      <c r="M331" s="15"/>
      <c r="N331" s="15"/>
      <c r="O331" s="15"/>
      <c r="P331" s="15"/>
      <c r="Q331" s="15"/>
      <c r="R331" s="16">
        <f t="shared" si="13"/>
        <v>0</v>
      </c>
      <c r="S331" s="20"/>
      <c r="T331" s="21" t="e">
        <f>bdrate($D331:$D334,E331:E334,$L331:$L334,M331:M334)</f>
        <v>#VALUE!</v>
      </c>
      <c r="U331" s="22" t="e">
        <f>bdrate($D331:$D334,F331:F334,$L331:$L334,N331:N334)</f>
        <v>#VALUE!</v>
      </c>
      <c r="V331" s="22" t="e">
        <f>bdrate($D331:$D334,G331:G334,$L331:$L334,O331:O334)</f>
        <v>#VALUE!</v>
      </c>
      <c r="W331" s="44" t="e">
        <f>bdrateOld($D331:$D334,E331:E334,$L331:$L334,M331:M334)</f>
        <v>#VALUE!</v>
      </c>
      <c r="X331" s="45" t="e">
        <f>bdrateOld($D331:$D334,F331:F334,$L331:$L334,N331:N334)</f>
        <v>#VALUE!</v>
      </c>
      <c r="Y331" s="46" t="e">
        <f>bdrateOld($D331:$D334,G331:G334,$L331:$L334,O331:O334)</f>
        <v>#VALUE!</v>
      </c>
    </row>
    <row r="332" spans="1:25" x14ac:dyDescent="0.2">
      <c r="A332" s="24"/>
      <c r="B332" s="24" t="s">
        <v>114</v>
      </c>
      <c r="C332" s="24">
        <v>27</v>
      </c>
      <c r="D332" s="25">
        <v>167.27199999999999</v>
      </c>
      <c r="E332" s="26">
        <v>48.201481999999999</v>
      </c>
      <c r="F332" s="26"/>
      <c r="G332" s="26"/>
      <c r="H332" s="26"/>
      <c r="I332" s="26"/>
      <c r="J332" s="27">
        <f t="shared" si="12"/>
        <v>0</v>
      </c>
      <c r="L332" s="25"/>
      <c r="M332" s="26"/>
      <c r="N332" s="26"/>
      <c r="O332" s="26"/>
      <c r="P332" s="26"/>
      <c r="Q332" s="26"/>
      <c r="R332" s="27">
        <f t="shared" si="13"/>
        <v>0</v>
      </c>
      <c r="S332" s="20"/>
      <c r="T332" s="31"/>
      <c r="U332" s="32"/>
      <c r="V332" s="32"/>
      <c r="W332" s="31"/>
      <c r="X332" s="32"/>
      <c r="Y332" s="33"/>
    </row>
    <row r="333" spans="1:25" x14ac:dyDescent="0.2">
      <c r="A333" s="24"/>
      <c r="B333" s="24"/>
      <c r="C333" s="24">
        <v>32</v>
      </c>
      <c r="D333" s="25">
        <v>84.367999999999995</v>
      </c>
      <c r="E333" s="26">
        <v>46.142518000000003</v>
      </c>
      <c r="F333" s="26"/>
      <c r="G333" s="26"/>
      <c r="H333" s="26"/>
      <c r="I333" s="26"/>
      <c r="J333" s="27">
        <f t="shared" si="12"/>
        <v>0</v>
      </c>
      <c r="L333" s="25"/>
      <c r="M333" s="26"/>
      <c r="N333" s="26"/>
      <c r="O333" s="26"/>
      <c r="P333" s="26"/>
      <c r="Q333" s="26"/>
      <c r="R333" s="27">
        <f t="shared" si="13"/>
        <v>0</v>
      </c>
      <c r="S333" s="20"/>
      <c r="T333" s="31"/>
      <c r="U333" s="32"/>
      <c r="V333" s="32"/>
      <c r="W333" s="31"/>
      <c r="X333" s="32"/>
      <c r="Y333" s="33"/>
    </row>
    <row r="334" spans="1:25" ht="12.75" thickBot="1" x14ac:dyDescent="0.25">
      <c r="A334" s="24"/>
      <c r="B334" s="34"/>
      <c r="C334" s="34">
        <v>37</v>
      </c>
      <c r="D334" s="35">
        <v>46.904000000000003</v>
      </c>
      <c r="E334" s="36">
        <v>44.129438999999998</v>
      </c>
      <c r="F334" s="36"/>
      <c r="G334" s="36"/>
      <c r="H334" s="36"/>
      <c r="I334" s="36"/>
      <c r="J334" s="37">
        <f t="shared" si="12"/>
        <v>0</v>
      </c>
      <c r="L334" s="35"/>
      <c r="M334" s="36"/>
      <c r="N334" s="36"/>
      <c r="O334" s="36"/>
      <c r="P334" s="36"/>
      <c r="Q334" s="36"/>
      <c r="R334" s="37">
        <f t="shared" si="13"/>
        <v>0</v>
      </c>
      <c r="S334" s="20"/>
      <c r="T334" s="41"/>
      <c r="U334" s="42"/>
      <c r="V334" s="42"/>
      <c r="W334" s="41"/>
      <c r="X334" s="42"/>
      <c r="Y334" s="43"/>
    </row>
    <row r="335" spans="1:25" x14ac:dyDescent="0.2">
      <c r="A335" s="24"/>
      <c r="B335" s="13" t="s">
        <v>109</v>
      </c>
      <c r="C335" s="13">
        <v>22</v>
      </c>
      <c r="D335" s="14">
        <v>4518.8159999999998</v>
      </c>
      <c r="E335" s="15">
        <v>49.493803999999997</v>
      </c>
      <c r="F335" s="15">
        <v>45.081592999999998</v>
      </c>
      <c r="G335" s="15">
        <v>46.610892</v>
      </c>
      <c r="H335" s="15">
        <v>46.703091000000001</v>
      </c>
      <c r="I335" s="15"/>
      <c r="J335" s="16">
        <f t="shared" si="12"/>
        <v>1.2973080833333334E-2</v>
      </c>
      <c r="L335" s="14"/>
      <c r="M335" s="15"/>
      <c r="N335" s="15"/>
      <c r="O335" s="15"/>
      <c r="P335" s="15"/>
      <c r="Q335" s="15"/>
      <c r="R335" s="16">
        <f t="shared" si="13"/>
        <v>0</v>
      </c>
      <c r="S335" s="20"/>
      <c r="T335" s="21" t="e">
        <f>bdrate($D335:$D338,E335:E338,$L335:$L338,M335:M338)</f>
        <v>#VALUE!</v>
      </c>
      <c r="U335" s="22" t="e">
        <f>bdrate($D335:$D338,F335:F338,$L335:$L338,N335:N338)</f>
        <v>#VALUE!</v>
      </c>
      <c r="V335" s="22" t="e">
        <f>bdrate($D335:$D338,G335:G338,$L335:$L338,O335:O338)</f>
        <v>#VALUE!</v>
      </c>
      <c r="W335" s="44" t="e">
        <f>bdrateOld($D335:$D338,E335:E338,$L335:$L338,M335:M338)</f>
        <v>#VALUE!</v>
      </c>
      <c r="X335" s="45" t="e">
        <f>bdrateOld($D335:$D338,F335:F338,$L335:$L338,N335:N338)</f>
        <v>#VALUE!</v>
      </c>
      <c r="Y335" s="46" t="e">
        <f>bdrateOld($D335:$D338,G335:G338,$L335:$L338,O335:O338)</f>
        <v>#VALUE!</v>
      </c>
    </row>
    <row r="336" spans="1:25" x14ac:dyDescent="0.2">
      <c r="A336" s="24"/>
      <c r="B336" s="24" t="s">
        <v>114</v>
      </c>
      <c r="C336" s="24">
        <v>27</v>
      </c>
      <c r="D336" s="25">
        <v>2522.3919999999998</v>
      </c>
      <c r="E336" s="26">
        <v>46.915388</v>
      </c>
      <c r="F336" s="26">
        <v>41.440342999999999</v>
      </c>
      <c r="G336" s="26">
        <v>43.110235000000003</v>
      </c>
      <c r="H336" s="26">
        <v>43.279591000000003</v>
      </c>
      <c r="I336" s="26"/>
      <c r="J336" s="27">
        <f t="shared" si="12"/>
        <v>1.2022108611111111E-2</v>
      </c>
      <c r="L336" s="25"/>
      <c r="M336" s="26"/>
      <c r="N336" s="26"/>
      <c r="O336" s="26"/>
      <c r="P336" s="26"/>
      <c r="Q336" s="26"/>
      <c r="R336" s="27">
        <f t="shared" si="13"/>
        <v>0</v>
      </c>
      <c r="S336" s="20"/>
      <c r="T336" s="31"/>
      <c r="U336" s="32"/>
      <c r="V336" s="32"/>
      <c r="W336" s="31"/>
      <c r="X336" s="32"/>
      <c r="Y336" s="33"/>
    </row>
    <row r="337" spans="1:25" x14ac:dyDescent="0.2">
      <c r="A337" s="24"/>
      <c r="B337" s="24"/>
      <c r="C337" s="24">
        <v>32</v>
      </c>
      <c r="D337" s="25">
        <v>1222.5360000000001</v>
      </c>
      <c r="E337" s="26">
        <v>44.762734000000002</v>
      </c>
      <c r="F337" s="26">
        <v>37.803406000000003</v>
      </c>
      <c r="G337" s="26">
        <v>39.962997000000001</v>
      </c>
      <c r="H337" s="26">
        <v>39.998803000000002</v>
      </c>
      <c r="I337" s="26"/>
      <c r="J337" s="27">
        <f t="shared" si="12"/>
        <v>1.1110778611111111E-2</v>
      </c>
      <c r="L337" s="25"/>
      <c r="M337" s="26"/>
      <c r="N337" s="26"/>
      <c r="O337" s="26"/>
      <c r="P337" s="26"/>
      <c r="Q337" s="26"/>
      <c r="R337" s="27">
        <f t="shared" si="13"/>
        <v>0</v>
      </c>
      <c r="S337" s="20"/>
      <c r="T337" s="31"/>
      <c r="U337" s="32"/>
      <c r="V337" s="32"/>
      <c r="W337" s="31"/>
      <c r="X337" s="32"/>
      <c r="Y337" s="33"/>
    </row>
    <row r="338" spans="1:25" ht="12.75" thickBot="1" x14ac:dyDescent="0.25">
      <c r="A338" s="24"/>
      <c r="B338" s="34"/>
      <c r="C338" s="34">
        <v>37</v>
      </c>
      <c r="D338" s="35">
        <v>489.14400000000001</v>
      </c>
      <c r="E338" s="36">
        <v>43.104354000000001</v>
      </c>
      <c r="F338" s="36">
        <v>34.446570000000001</v>
      </c>
      <c r="G338" s="36">
        <v>37.631162000000003</v>
      </c>
      <c r="H338" s="36">
        <v>37.131903999999999</v>
      </c>
      <c r="I338" s="36"/>
      <c r="J338" s="37">
        <f t="shared" si="12"/>
        <v>1.0314417777777777E-2</v>
      </c>
      <c r="L338" s="35"/>
      <c r="M338" s="36"/>
      <c r="N338" s="36"/>
      <c r="O338" s="36"/>
      <c r="P338" s="36"/>
      <c r="Q338" s="36"/>
      <c r="R338" s="37">
        <f t="shared" si="13"/>
        <v>0</v>
      </c>
      <c r="S338" s="20"/>
      <c r="T338" s="41"/>
      <c r="U338" s="42"/>
      <c r="V338" s="42"/>
      <c r="W338" s="41"/>
      <c r="X338" s="42"/>
      <c r="Y338" s="43"/>
    </row>
    <row r="339" spans="1:25" x14ac:dyDescent="0.2">
      <c r="A339" s="24"/>
      <c r="B339" s="13" t="s">
        <v>112</v>
      </c>
      <c r="C339" s="13">
        <v>22</v>
      </c>
      <c r="D339" s="14">
        <v>3163.6080000000002</v>
      </c>
      <c r="E339" s="15">
        <v>48.891050999999997</v>
      </c>
      <c r="F339" s="15">
        <v>520.99733500000002</v>
      </c>
      <c r="G339" s="15">
        <v>521.72895600000004</v>
      </c>
      <c r="H339" s="15">
        <v>46.440463000000001</v>
      </c>
      <c r="I339" s="15"/>
      <c r="J339" s="16">
        <f t="shared" si="12"/>
        <v>1.2900128611111112E-2</v>
      </c>
      <c r="L339" s="14"/>
      <c r="M339" s="15"/>
      <c r="N339" s="15"/>
      <c r="O339" s="15"/>
      <c r="P339" s="15"/>
      <c r="Q339" s="15"/>
      <c r="R339" s="16">
        <f t="shared" si="13"/>
        <v>0</v>
      </c>
      <c r="S339" s="20"/>
      <c r="T339" s="21" t="e">
        <f>bdrate($D339:$D342,E339:E342,$L339:$L342,M339:M342)</f>
        <v>#VALUE!</v>
      </c>
      <c r="U339" s="22" t="e">
        <f>bdrate($D339:$D342,F339:F342,$L339:$L342,N339:N342)</f>
        <v>#VALUE!</v>
      </c>
      <c r="V339" s="22" t="e">
        <f>bdrate($D339:$D342,G339:G342,$L339:$L342,O339:O342)</f>
        <v>#VALUE!</v>
      </c>
      <c r="W339" s="44" t="e">
        <f>bdrateOld($D339:$D342,E339:E342,$L339:$L342,M339:M342)</f>
        <v>#VALUE!</v>
      </c>
      <c r="X339" s="45" t="e">
        <f>bdrateOld($D339:$D342,F339:F342,$L339:$L342,N339:N342)</f>
        <v>#VALUE!</v>
      </c>
      <c r="Y339" s="46" t="e">
        <f>bdrateOld($D339:$D342,G339:G342,$L339:$L342,O339:O342)</f>
        <v>#VALUE!</v>
      </c>
    </row>
    <row r="340" spans="1:25" x14ac:dyDescent="0.2">
      <c r="A340" s="24"/>
      <c r="B340" s="24"/>
      <c r="C340" s="24">
        <v>27</v>
      </c>
      <c r="D340" s="25">
        <v>1326.8</v>
      </c>
      <c r="E340" s="26">
        <v>46.269486999999998</v>
      </c>
      <c r="F340" s="26">
        <v>518.67477499999995</v>
      </c>
      <c r="G340" s="26">
        <v>519.72326199999998</v>
      </c>
      <c r="H340" s="26">
        <v>42.347442999999998</v>
      </c>
      <c r="I340" s="26"/>
      <c r="J340" s="27">
        <f t="shared" si="12"/>
        <v>1.1763178611111111E-2</v>
      </c>
      <c r="L340" s="25"/>
      <c r="M340" s="26"/>
      <c r="N340" s="26"/>
      <c r="O340" s="26"/>
      <c r="P340" s="26"/>
      <c r="Q340" s="26"/>
      <c r="R340" s="27">
        <f t="shared" si="13"/>
        <v>0</v>
      </c>
      <c r="S340" s="20"/>
      <c r="T340" s="31"/>
      <c r="U340" s="32"/>
      <c r="V340" s="32"/>
      <c r="W340" s="31"/>
      <c r="X340" s="32"/>
      <c r="Y340" s="33"/>
    </row>
    <row r="341" spans="1:25" x14ac:dyDescent="0.2">
      <c r="A341" s="24"/>
      <c r="B341" s="24" t="s">
        <v>116</v>
      </c>
      <c r="C341" s="24">
        <v>32</v>
      </c>
      <c r="D341" s="25">
        <v>428.84</v>
      </c>
      <c r="E341" s="26">
        <v>44.243827000000003</v>
      </c>
      <c r="F341" s="26">
        <v>516.60971400000005</v>
      </c>
      <c r="G341" s="26">
        <v>518.41353500000002</v>
      </c>
      <c r="H341" s="26">
        <v>38.939704999999996</v>
      </c>
      <c r="I341" s="26"/>
      <c r="J341" s="27">
        <f t="shared" si="12"/>
        <v>1.0816584722222222E-2</v>
      </c>
      <c r="L341" s="25"/>
      <c r="M341" s="26"/>
      <c r="N341" s="26"/>
      <c r="O341" s="26"/>
      <c r="P341" s="26"/>
      <c r="Q341" s="26"/>
      <c r="R341" s="27">
        <f t="shared" si="13"/>
        <v>0</v>
      </c>
      <c r="S341" s="20"/>
      <c r="T341" s="31"/>
      <c r="U341" s="32"/>
      <c r="V341" s="32"/>
      <c r="W341" s="31"/>
      <c r="X341" s="32"/>
      <c r="Y341" s="33"/>
    </row>
    <row r="342" spans="1:25" ht="12.75" thickBot="1" x14ac:dyDescent="0.25">
      <c r="A342" s="24"/>
      <c r="B342" s="34"/>
      <c r="C342" s="34">
        <v>37</v>
      </c>
      <c r="D342" s="35">
        <v>134.352</v>
      </c>
      <c r="E342" s="36">
        <v>42.311585999999998</v>
      </c>
      <c r="F342" s="36">
        <v>515.33166700000004</v>
      </c>
      <c r="G342" s="36">
        <v>517.91349400000001</v>
      </c>
      <c r="H342" s="36">
        <v>36.822197000000003</v>
      </c>
      <c r="I342" s="36"/>
      <c r="J342" s="37">
        <f t="shared" si="12"/>
        <v>1.0228388055555556E-2</v>
      </c>
      <c r="L342" s="35"/>
      <c r="M342" s="36"/>
      <c r="N342" s="36"/>
      <c r="O342" s="36"/>
      <c r="P342" s="36"/>
      <c r="Q342" s="36"/>
      <c r="R342" s="37">
        <f t="shared" si="13"/>
        <v>0</v>
      </c>
      <c r="S342" s="20"/>
      <c r="T342" s="41"/>
      <c r="U342" s="42"/>
      <c r="V342" s="42"/>
      <c r="W342" s="41"/>
      <c r="X342" s="42"/>
      <c r="Y342" s="43"/>
    </row>
    <row r="343" spans="1:25" x14ac:dyDescent="0.2">
      <c r="A343" s="24"/>
      <c r="B343" s="13" t="s">
        <v>113</v>
      </c>
      <c r="C343" s="13">
        <v>22</v>
      </c>
      <c r="D343" s="14">
        <v>4844.6639999999998</v>
      </c>
      <c r="E343" s="15">
        <v>48.980043999999999</v>
      </c>
      <c r="F343" s="15">
        <v>75.331308000000007</v>
      </c>
      <c r="G343" s="15">
        <v>76.108382000000006</v>
      </c>
      <c r="H343" s="15">
        <v>48.952686</v>
      </c>
      <c r="I343" s="15"/>
      <c r="J343" s="16">
        <f t="shared" si="12"/>
        <v>1.3597968333333333E-2</v>
      </c>
      <c r="L343" s="14"/>
      <c r="M343" s="15"/>
      <c r="N343" s="15"/>
      <c r="O343" s="15"/>
      <c r="P343" s="15"/>
      <c r="Q343" s="15"/>
      <c r="R343" s="16">
        <f t="shared" si="13"/>
        <v>0</v>
      </c>
      <c r="S343" s="20"/>
      <c r="T343" s="21" t="e">
        <f>bdrate($D343:$D346,E343:E346,$L343:$L346,M343:M346)</f>
        <v>#VALUE!</v>
      </c>
      <c r="U343" s="22" t="e">
        <f>bdrate($D343:$D346,F343:F346,$L343:$L346,N343:N346)</f>
        <v>#VALUE!</v>
      </c>
      <c r="V343" s="22" t="e">
        <f>bdrate($D343:$D346,G343:G346,$L343:$L346,O343:O346)</f>
        <v>#VALUE!</v>
      </c>
      <c r="W343" s="44" t="e">
        <f>bdrateOld($D343:$D346,E343:E346,$L343:$L346,M343:M346)</f>
        <v>#VALUE!</v>
      </c>
      <c r="X343" s="45" t="e">
        <f>bdrateOld($D343:$D346,F343:F346,$L343:$L346,N343:N346)</f>
        <v>#VALUE!</v>
      </c>
      <c r="Y343" s="46" t="e">
        <f>bdrateOld($D343:$D346,G343:G346,$L343:$L346,O343:O346)</f>
        <v>#VALUE!</v>
      </c>
    </row>
    <row r="344" spans="1:25" x14ac:dyDescent="0.2">
      <c r="A344" s="24"/>
      <c r="B344" s="24"/>
      <c r="C344" s="24">
        <v>27</v>
      </c>
      <c r="D344" s="25">
        <v>2703.864</v>
      </c>
      <c r="E344" s="26">
        <v>46.338706000000002</v>
      </c>
      <c r="F344" s="26">
        <v>65.512612000000004</v>
      </c>
      <c r="G344" s="26">
        <v>66.807000000000002</v>
      </c>
      <c r="H344" s="26">
        <v>45.677346999999997</v>
      </c>
      <c r="I344" s="26"/>
      <c r="J344" s="27">
        <f t="shared" si="12"/>
        <v>1.2688151944444444E-2</v>
      </c>
      <c r="L344" s="25"/>
      <c r="M344" s="26"/>
      <c r="N344" s="26"/>
      <c r="O344" s="26"/>
      <c r="P344" s="26"/>
      <c r="Q344" s="26"/>
      <c r="R344" s="27">
        <f t="shared" si="13"/>
        <v>0</v>
      </c>
      <c r="S344" s="20"/>
      <c r="T344" s="31"/>
      <c r="U344" s="32"/>
      <c r="V344" s="32"/>
      <c r="W344" s="31"/>
      <c r="X344" s="32"/>
      <c r="Y344" s="33"/>
    </row>
    <row r="345" spans="1:25" x14ac:dyDescent="0.2">
      <c r="A345" s="24"/>
      <c r="B345" s="24" t="s">
        <v>116</v>
      </c>
      <c r="C345" s="24">
        <v>32</v>
      </c>
      <c r="D345" s="25">
        <v>1337.6880000000001</v>
      </c>
      <c r="E345" s="26">
        <v>43.893025000000002</v>
      </c>
      <c r="F345" s="26">
        <v>54.605213999999997</v>
      </c>
      <c r="G345" s="26">
        <v>56.883786999999998</v>
      </c>
      <c r="H345" s="26">
        <v>42.497968</v>
      </c>
      <c r="I345" s="26"/>
      <c r="J345" s="27">
        <f t="shared" si="12"/>
        <v>1.1804991111111111E-2</v>
      </c>
      <c r="L345" s="25"/>
      <c r="M345" s="26"/>
      <c r="N345" s="26"/>
      <c r="O345" s="26"/>
      <c r="P345" s="26"/>
      <c r="Q345" s="26"/>
      <c r="R345" s="27">
        <f t="shared" si="13"/>
        <v>0</v>
      </c>
      <c r="S345" s="20"/>
      <c r="T345" s="31"/>
      <c r="U345" s="32"/>
      <c r="V345" s="32"/>
      <c r="W345" s="31"/>
      <c r="X345" s="32"/>
      <c r="Y345" s="33"/>
    </row>
    <row r="346" spans="1:25" ht="12.75" thickBot="1" x14ac:dyDescent="0.25">
      <c r="A346" s="24"/>
      <c r="B346" s="34"/>
      <c r="C346" s="34">
        <v>37</v>
      </c>
      <c r="D346" s="35">
        <v>557.47199999999998</v>
      </c>
      <c r="E346" s="36">
        <v>41.787697000000001</v>
      </c>
      <c r="F346" s="36">
        <v>47.198070999999999</v>
      </c>
      <c r="G346" s="36">
        <v>48.486310000000003</v>
      </c>
      <c r="H346" s="36">
        <v>39.660366000000003</v>
      </c>
      <c r="I346" s="36"/>
      <c r="J346" s="37">
        <f t="shared" si="12"/>
        <v>1.1016768333333335E-2</v>
      </c>
      <c r="L346" s="35"/>
      <c r="M346" s="36"/>
      <c r="N346" s="36"/>
      <c r="O346" s="36"/>
      <c r="P346" s="36"/>
      <c r="Q346" s="36"/>
      <c r="R346" s="37">
        <f t="shared" si="13"/>
        <v>0</v>
      </c>
      <c r="S346" s="20"/>
      <c r="T346" s="41"/>
      <c r="U346" s="42"/>
      <c r="V346" s="42"/>
      <c r="W346" s="41"/>
      <c r="X346" s="42"/>
      <c r="Y346" s="43"/>
    </row>
    <row r="347" spans="1:25" x14ac:dyDescent="0.2">
      <c r="A347" s="24"/>
      <c r="B347" s="13" t="s">
        <v>127</v>
      </c>
      <c r="C347" s="13">
        <v>22</v>
      </c>
      <c r="D347" s="14">
        <v>4561.5200000000004</v>
      </c>
      <c r="E347" s="15">
        <v>42.774054</v>
      </c>
      <c r="F347" s="15"/>
      <c r="G347" s="15"/>
      <c r="H347" s="15"/>
      <c r="I347" s="15"/>
      <c r="J347" s="16">
        <f t="shared" si="12"/>
        <v>0</v>
      </c>
      <c r="L347" s="14"/>
      <c r="M347" s="15"/>
      <c r="N347" s="15"/>
      <c r="O347" s="15"/>
      <c r="P347" s="15"/>
      <c r="Q347" s="15"/>
      <c r="R347" s="16">
        <f t="shared" si="13"/>
        <v>0</v>
      </c>
      <c r="S347" s="20"/>
      <c r="T347" s="21" t="e">
        <f>bdrate($D347:$D350,E347:E350,$L347:$L350,M347:M350)</f>
        <v>#VALUE!</v>
      </c>
      <c r="U347" s="22" t="e">
        <f>bdrate($D347:$D350,F347:F350,$L347:$L350,N347:N350)</f>
        <v>#VALUE!</v>
      </c>
      <c r="V347" s="22" t="e">
        <f>bdrate($D347:$D350,G347:G350,$L347:$L350,O347:O350)</f>
        <v>#VALUE!</v>
      </c>
      <c r="W347" s="44" t="e">
        <f>bdrateOld($D347:$D350,E347:E350,$L347:$L350,M347:M350)</f>
        <v>#VALUE!</v>
      </c>
      <c r="X347" s="45" t="e">
        <f>bdrateOld($D347:$D350,F347:F350,$L347:$L350,N347:N350)</f>
        <v>#VALUE!</v>
      </c>
      <c r="Y347" s="46" t="e">
        <f>bdrateOld($D347:$D350,G347:G350,$L347:$L350,O347:O350)</f>
        <v>#VALUE!</v>
      </c>
    </row>
    <row r="348" spans="1:25" x14ac:dyDescent="0.2">
      <c r="A348" s="24"/>
      <c r="B348" s="152">
        <v>400</v>
      </c>
      <c r="C348" s="24">
        <v>27</v>
      </c>
      <c r="D348" s="25">
        <v>1717.912</v>
      </c>
      <c r="E348" s="26">
        <v>39.660730999999998</v>
      </c>
      <c r="F348" s="26"/>
      <c r="G348" s="26"/>
      <c r="H348" s="26"/>
      <c r="I348" s="26"/>
      <c r="J348" s="27">
        <f t="shared" si="12"/>
        <v>0</v>
      </c>
      <c r="L348" s="25"/>
      <c r="M348" s="26"/>
      <c r="N348" s="26"/>
      <c r="O348" s="26"/>
      <c r="P348" s="26"/>
      <c r="Q348" s="26"/>
      <c r="R348" s="27">
        <f t="shared" si="13"/>
        <v>0</v>
      </c>
      <c r="S348" s="20"/>
      <c r="T348" s="31"/>
      <c r="U348" s="32"/>
      <c r="V348" s="32"/>
      <c r="W348" s="31"/>
      <c r="X348" s="32"/>
      <c r="Y348" s="33"/>
    </row>
    <row r="349" spans="1:25" x14ac:dyDescent="0.2">
      <c r="A349" s="24"/>
      <c r="B349" s="24" t="s">
        <v>128</v>
      </c>
      <c r="C349" s="24">
        <v>32</v>
      </c>
      <c r="D349" s="25">
        <v>557.94399999999996</v>
      </c>
      <c r="E349" s="26">
        <v>37.620100000000001</v>
      </c>
      <c r="F349" s="26"/>
      <c r="G349" s="26"/>
      <c r="H349" s="26"/>
      <c r="I349" s="26"/>
      <c r="J349" s="27">
        <f t="shared" si="12"/>
        <v>0</v>
      </c>
      <c r="L349" s="25"/>
      <c r="M349" s="26"/>
      <c r="N349" s="26"/>
      <c r="O349" s="26"/>
      <c r="P349" s="26"/>
      <c r="Q349" s="26"/>
      <c r="R349" s="27">
        <f t="shared" si="13"/>
        <v>0</v>
      </c>
      <c r="S349" s="20"/>
      <c r="T349" s="31"/>
      <c r="U349" s="32"/>
      <c r="V349" s="32"/>
      <c r="W349" s="31"/>
      <c r="X349" s="32"/>
      <c r="Y349" s="33"/>
    </row>
    <row r="350" spans="1:25" ht="12.75" thickBot="1" x14ac:dyDescent="0.25">
      <c r="A350" s="24"/>
      <c r="B350" s="34"/>
      <c r="C350" s="34">
        <v>37</v>
      </c>
      <c r="D350" s="35">
        <v>176.864</v>
      </c>
      <c r="E350" s="36">
        <v>36.243056000000003</v>
      </c>
      <c r="F350" s="36"/>
      <c r="G350" s="36"/>
      <c r="H350" s="36"/>
      <c r="I350" s="36"/>
      <c r="J350" s="37">
        <f t="shared" si="12"/>
        <v>0</v>
      </c>
      <c r="L350" s="35"/>
      <c r="M350" s="36"/>
      <c r="N350" s="36"/>
      <c r="O350" s="36"/>
      <c r="P350" s="36"/>
      <c r="Q350" s="36"/>
      <c r="R350" s="37">
        <f t="shared" si="13"/>
        <v>0</v>
      </c>
      <c r="S350" s="20"/>
      <c r="T350" s="41"/>
      <c r="U350" s="42"/>
      <c r="V350" s="42"/>
      <c r="W350" s="41"/>
      <c r="X350" s="42"/>
      <c r="Y350" s="43"/>
    </row>
    <row r="351" spans="1:25" x14ac:dyDescent="0.2">
      <c r="A351" s="24"/>
      <c r="B351" s="13" t="s">
        <v>129</v>
      </c>
      <c r="C351" s="13">
        <v>22</v>
      </c>
      <c r="D351" s="14">
        <v>5822.4880000000003</v>
      </c>
      <c r="E351" s="15">
        <v>46.646127</v>
      </c>
      <c r="F351" s="15">
        <v>44.215004999999998</v>
      </c>
      <c r="G351" s="15">
        <v>47.520307000000003</v>
      </c>
      <c r="H351" s="15">
        <v>45.893120000000003</v>
      </c>
      <c r="I351" s="15"/>
      <c r="J351" s="16">
        <f t="shared" si="12"/>
        <v>1.2748088888888889E-2</v>
      </c>
      <c r="L351" s="14"/>
      <c r="M351" s="15"/>
      <c r="N351" s="15"/>
      <c r="O351" s="15"/>
      <c r="P351" s="15"/>
      <c r="Q351" s="15"/>
      <c r="R351" s="16">
        <f t="shared" si="13"/>
        <v>0</v>
      </c>
      <c r="S351" s="20"/>
      <c r="T351" s="21" t="e">
        <f>bdrate($D351:$D354,E351:E354,$L351:$L354,M351:M354)</f>
        <v>#VALUE!</v>
      </c>
      <c r="U351" s="22" t="e">
        <f>bdrate($D351:$D354,F351:F354,$L351:$L354,N351:N354)</f>
        <v>#VALUE!</v>
      </c>
      <c r="V351" s="22" t="e">
        <f>bdrate($D351:$D354,G351:G354,$L351:$L354,O351:O354)</f>
        <v>#VALUE!</v>
      </c>
      <c r="W351" s="44" t="e">
        <f>bdrateOld($D351:$D354,E351:E354,$L351:$L354,M351:M354)</f>
        <v>#VALUE!</v>
      </c>
      <c r="X351" s="45" t="e">
        <f>bdrateOld($D351:$D354,F351:F354,$L351:$L354,N351:N354)</f>
        <v>#VALUE!</v>
      </c>
      <c r="Y351" s="46" t="e">
        <f>bdrateOld($D351:$D354,G351:G354,$L351:$L354,O351:O354)</f>
        <v>#VALUE!</v>
      </c>
    </row>
    <row r="352" spans="1:25" x14ac:dyDescent="0.2">
      <c r="A352" s="24"/>
      <c r="B352" s="24"/>
      <c r="C352" s="24">
        <v>27</v>
      </c>
      <c r="D352" s="25">
        <v>3040.2559999999999</v>
      </c>
      <c r="E352" s="26">
        <v>43.580159000000002</v>
      </c>
      <c r="F352" s="26">
        <v>40.060164</v>
      </c>
      <c r="G352" s="26">
        <v>43.714758000000003</v>
      </c>
      <c r="H352" s="26">
        <v>42.099755000000002</v>
      </c>
      <c r="I352" s="26"/>
      <c r="J352" s="27">
        <f t="shared" si="12"/>
        <v>1.1694376388888889E-2</v>
      </c>
      <c r="L352" s="25"/>
      <c r="M352" s="26"/>
      <c r="N352" s="26"/>
      <c r="O352" s="26"/>
      <c r="P352" s="26"/>
      <c r="Q352" s="26"/>
      <c r="R352" s="27">
        <f t="shared" si="13"/>
        <v>0</v>
      </c>
      <c r="S352" s="20"/>
      <c r="T352" s="31"/>
      <c r="U352" s="32"/>
      <c r="V352" s="32"/>
      <c r="W352" s="31"/>
      <c r="X352" s="32"/>
      <c r="Y352" s="33"/>
    </row>
    <row r="353" spans="1:25" x14ac:dyDescent="0.2">
      <c r="A353" s="24"/>
      <c r="B353" s="24"/>
      <c r="C353" s="24">
        <v>32</v>
      </c>
      <c r="D353" s="25">
        <v>1326.2639999999999</v>
      </c>
      <c r="E353" s="26">
        <v>41.405808</v>
      </c>
      <c r="F353" s="26">
        <v>36.393822</v>
      </c>
      <c r="G353" s="26">
        <v>40.664332999999999</v>
      </c>
      <c r="H353" s="26">
        <v>38.887650999999998</v>
      </c>
      <c r="I353" s="26"/>
      <c r="J353" s="27">
        <f t="shared" si="12"/>
        <v>1.0802125277777777E-2</v>
      </c>
      <c r="L353" s="25"/>
      <c r="M353" s="26"/>
      <c r="N353" s="26"/>
      <c r="O353" s="26"/>
      <c r="P353" s="26"/>
      <c r="Q353" s="26"/>
      <c r="R353" s="27">
        <f t="shared" si="13"/>
        <v>0</v>
      </c>
      <c r="S353" s="20"/>
      <c r="T353" s="31"/>
      <c r="U353" s="32"/>
      <c r="V353" s="32"/>
      <c r="W353" s="31"/>
      <c r="X353" s="32"/>
      <c r="Y353" s="33"/>
    </row>
    <row r="354" spans="1:25" ht="12.75" thickBot="1" x14ac:dyDescent="0.25">
      <c r="A354" s="24"/>
      <c r="B354" s="34"/>
      <c r="C354" s="34">
        <v>37</v>
      </c>
      <c r="D354" s="35">
        <v>552.904</v>
      </c>
      <c r="E354" s="36">
        <v>39.395501000000003</v>
      </c>
      <c r="F354" s="36">
        <v>33.881487999999997</v>
      </c>
      <c r="G354" s="36">
        <v>38.439326000000001</v>
      </c>
      <c r="H354" s="36">
        <v>36.528027999999999</v>
      </c>
      <c r="I354" s="36"/>
      <c r="J354" s="37">
        <f t="shared" si="12"/>
        <v>1.0146674444444444E-2</v>
      </c>
      <c r="L354" s="35"/>
      <c r="M354" s="36"/>
      <c r="N354" s="36"/>
      <c r="O354" s="36"/>
      <c r="P354" s="36"/>
      <c r="Q354" s="36"/>
      <c r="R354" s="37">
        <f t="shared" si="13"/>
        <v>0</v>
      </c>
      <c r="S354" s="20"/>
      <c r="T354" s="41"/>
      <c r="U354" s="42"/>
      <c r="V354" s="42"/>
      <c r="W354" s="41"/>
      <c r="X354" s="42"/>
      <c r="Y354" s="43"/>
    </row>
    <row r="355" spans="1:25" x14ac:dyDescent="0.2">
      <c r="A355" s="24"/>
      <c r="B355" s="13"/>
      <c r="C355" s="13">
        <v>22</v>
      </c>
      <c r="D355" s="14"/>
      <c r="E355" s="15"/>
      <c r="F355" s="15"/>
      <c r="G355" s="15"/>
      <c r="H355" s="15"/>
      <c r="I355" s="15"/>
      <c r="J355" s="16">
        <f t="shared" si="12"/>
        <v>0</v>
      </c>
      <c r="L355" s="14"/>
      <c r="M355" s="15"/>
      <c r="N355" s="15"/>
      <c r="O355" s="15"/>
      <c r="P355" s="15"/>
      <c r="Q355" s="15"/>
      <c r="R355" s="16">
        <f t="shared" si="13"/>
        <v>0</v>
      </c>
      <c r="S355" s="20"/>
      <c r="T355" s="21" t="e">
        <f>bdrate($D355:$D358,E355:E358,$L355:$L358,M355:M358)</f>
        <v>#VALUE!</v>
      </c>
      <c r="U355" s="22" t="e">
        <f>bdrate($D355:$D358,F355:F358,$L355:$L358,N355:N358)</f>
        <v>#VALUE!</v>
      </c>
      <c r="V355" s="22" t="e">
        <f>bdrate($D355:$D358,G355:G358,$L355:$L358,O355:O358)</f>
        <v>#VALUE!</v>
      </c>
      <c r="W355" s="44" t="e">
        <f>bdrateOld($D355:$D358,E355:E358,$L355:$L358,M355:M358)</f>
        <v>#VALUE!</v>
      </c>
      <c r="X355" s="45" t="e">
        <f>bdrateOld($D355:$D358,F355:F358,$L355:$L358,N355:N358)</f>
        <v>#VALUE!</v>
      </c>
      <c r="Y355" s="46" t="e">
        <f>bdrateOld($D355:$D358,G355:G358,$L355:$L358,O355:O358)</f>
        <v>#VALUE!</v>
      </c>
    </row>
    <row r="356" spans="1:25" x14ac:dyDescent="0.2">
      <c r="A356" s="24"/>
      <c r="B356" s="24"/>
      <c r="C356" s="24">
        <v>27</v>
      </c>
      <c r="D356" s="25"/>
      <c r="E356" s="26"/>
      <c r="F356" s="26"/>
      <c r="G356" s="26"/>
      <c r="H356" s="26"/>
      <c r="I356" s="26"/>
      <c r="J356" s="27">
        <f t="shared" si="12"/>
        <v>0</v>
      </c>
      <c r="L356" s="25"/>
      <c r="M356" s="26"/>
      <c r="N356" s="26"/>
      <c r="O356" s="26"/>
      <c r="P356" s="26"/>
      <c r="Q356" s="26"/>
      <c r="R356" s="27">
        <f t="shared" si="13"/>
        <v>0</v>
      </c>
      <c r="S356" s="20"/>
      <c r="T356" s="31"/>
      <c r="U356" s="32"/>
      <c r="V356" s="32"/>
      <c r="W356" s="31"/>
      <c r="X356" s="32"/>
      <c r="Y356" s="33"/>
    </row>
    <row r="357" spans="1:25" x14ac:dyDescent="0.2">
      <c r="A357" s="24"/>
      <c r="B357" s="24"/>
      <c r="C357" s="24">
        <v>32</v>
      </c>
      <c r="D357" s="25"/>
      <c r="E357" s="26"/>
      <c r="F357" s="26"/>
      <c r="G357" s="26"/>
      <c r="H357" s="26"/>
      <c r="I357" s="26"/>
      <c r="J357" s="27">
        <f t="shared" si="12"/>
        <v>0</v>
      </c>
      <c r="L357" s="25"/>
      <c r="M357" s="26"/>
      <c r="N357" s="26"/>
      <c r="O357" s="26"/>
      <c r="P357" s="26"/>
      <c r="Q357" s="26"/>
      <c r="R357" s="27">
        <f t="shared" si="13"/>
        <v>0</v>
      </c>
      <c r="S357" s="20"/>
      <c r="T357" s="31"/>
      <c r="U357" s="32"/>
      <c r="V357" s="32"/>
      <c r="W357" s="31"/>
      <c r="X357" s="32"/>
      <c r="Y357" s="33"/>
    </row>
    <row r="358" spans="1:25" ht="12.75" thickBot="1" x14ac:dyDescent="0.25">
      <c r="A358" s="24"/>
      <c r="B358" s="34"/>
      <c r="C358" s="34">
        <v>37</v>
      </c>
      <c r="D358" s="35"/>
      <c r="E358" s="36"/>
      <c r="F358" s="36"/>
      <c r="G358" s="36"/>
      <c r="H358" s="36"/>
      <c r="I358" s="36"/>
      <c r="J358" s="37">
        <f t="shared" si="12"/>
        <v>0</v>
      </c>
      <c r="L358" s="35"/>
      <c r="M358" s="36"/>
      <c r="N358" s="36"/>
      <c r="O358" s="36"/>
      <c r="P358" s="36"/>
      <c r="Q358" s="36"/>
      <c r="R358" s="37">
        <f t="shared" si="13"/>
        <v>0</v>
      </c>
      <c r="S358" s="20"/>
      <c r="T358" s="41"/>
      <c r="U358" s="42"/>
      <c r="V358" s="42"/>
      <c r="W358" s="41"/>
      <c r="X358" s="42"/>
      <c r="Y358" s="43"/>
    </row>
    <row r="359" spans="1:25" x14ac:dyDescent="0.2">
      <c r="A359" s="24"/>
      <c r="B359" s="13"/>
      <c r="C359" s="13">
        <v>22</v>
      </c>
      <c r="D359" s="14"/>
      <c r="E359" s="15"/>
      <c r="F359" s="15"/>
      <c r="G359" s="15"/>
      <c r="H359" s="15"/>
      <c r="I359" s="15"/>
      <c r="J359" s="16">
        <f t="shared" si="12"/>
        <v>0</v>
      </c>
      <c r="L359" s="14"/>
      <c r="M359" s="15"/>
      <c r="N359" s="15"/>
      <c r="O359" s="15"/>
      <c r="P359" s="15"/>
      <c r="Q359" s="15"/>
      <c r="R359" s="16">
        <f t="shared" si="13"/>
        <v>0</v>
      </c>
      <c r="S359" s="20"/>
      <c r="T359" s="21" t="e">
        <f>bdrate($D359:$D362,E359:E362,$L359:$L362,M359:M362)</f>
        <v>#VALUE!</v>
      </c>
      <c r="U359" s="22" t="e">
        <f>bdrate($D359:$D362,F359:F362,$L359:$L362,N359:N362)</f>
        <v>#VALUE!</v>
      </c>
      <c r="V359" s="22" t="e">
        <f>bdrate($D359:$D362,G359:G362,$L359:$L362,O359:O362)</f>
        <v>#VALUE!</v>
      </c>
      <c r="W359" s="44" t="e">
        <f>bdrateOld($D359:$D362,E359:E362,$L359:$L362,M359:M362)</f>
        <v>#VALUE!</v>
      </c>
      <c r="X359" s="45" t="e">
        <f>bdrateOld($D359:$D362,F359:F362,$L359:$L362,N359:N362)</f>
        <v>#VALUE!</v>
      </c>
      <c r="Y359" s="46" t="e">
        <f>bdrateOld($D359:$D362,G359:G362,$L359:$L362,O359:O362)</f>
        <v>#VALUE!</v>
      </c>
    </row>
    <row r="360" spans="1:25" x14ac:dyDescent="0.2">
      <c r="A360" s="24"/>
      <c r="B360" s="24"/>
      <c r="C360" s="24">
        <v>27</v>
      </c>
      <c r="D360" s="25"/>
      <c r="E360" s="26"/>
      <c r="F360" s="26"/>
      <c r="G360" s="26"/>
      <c r="H360" s="26"/>
      <c r="I360" s="26"/>
      <c r="J360" s="27">
        <f t="shared" si="12"/>
        <v>0</v>
      </c>
      <c r="L360" s="25"/>
      <c r="M360" s="26"/>
      <c r="N360" s="26"/>
      <c r="O360" s="26"/>
      <c r="P360" s="26"/>
      <c r="Q360" s="26"/>
      <c r="R360" s="27">
        <f t="shared" si="13"/>
        <v>0</v>
      </c>
      <c r="S360" s="20"/>
      <c r="T360" s="31"/>
      <c r="U360" s="32"/>
      <c r="V360" s="32"/>
      <c r="W360" s="31"/>
      <c r="X360" s="32"/>
      <c r="Y360" s="33"/>
    </row>
    <row r="361" spans="1:25" x14ac:dyDescent="0.2">
      <c r="A361" s="24"/>
      <c r="B361" s="24"/>
      <c r="C361" s="24">
        <v>32</v>
      </c>
      <c r="D361" s="25"/>
      <c r="E361" s="26"/>
      <c r="F361" s="26"/>
      <c r="G361" s="26"/>
      <c r="H361" s="26"/>
      <c r="I361" s="26"/>
      <c r="J361" s="27">
        <f t="shared" si="12"/>
        <v>0</v>
      </c>
      <c r="L361" s="25"/>
      <c r="M361" s="26"/>
      <c r="N361" s="26"/>
      <c r="O361" s="26"/>
      <c r="P361" s="26"/>
      <c r="Q361" s="26"/>
      <c r="R361" s="27">
        <f t="shared" si="13"/>
        <v>0</v>
      </c>
      <c r="S361" s="20"/>
      <c r="T361" s="31"/>
      <c r="U361" s="32"/>
      <c r="V361" s="32"/>
      <c r="W361" s="31"/>
      <c r="X361" s="32"/>
      <c r="Y361" s="33"/>
    </row>
    <row r="362" spans="1:25" ht="12.75" thickBot="1" x14ac:dyDescent="0.25">
      <c r="A362" s="24"/>
      <c r="B362" s="34"/>
      <c r="C362" s="34">
        <v>37</v>
      </c>
      <c r="D362" s="35"/>
      <c r="E362" s="36"/>
      <c r="F362" s="36"/>
      <c r="G362" s="36"/>
      <c r="H362" s="36"/>
      <c r="I362" s="36"/>
      <c r="J362" s="37">
        <f t="shared" si="12"/>
        <v>0</v>
      </c>
      <c r="L362" s="35"/>
      <c r="M362" s="36"/>
      <c r="N362" s="36"/>
      <c r="O362" s="36"/>
      <c r="P362" s="36"/>
      <c r="Q362" s="36"/>
      <c r="R362" s="37">
        <f t="shared" si="13"/>
        <v>0</v>
      </c>
      <c r="S362" s="20"/>
      <c r="T362" s="41"/>
      <c r="U362" s="42"/>
      <c r="V362" s="42"/>
      <c r="W362" s="41"/>
      <c r="X362" s="42"/>
      <c r="Y362" s="43"/>
    </row>
    <row r="363" spans="1:25" x14ac:dyDescent="0.2">
      <c r="A363" s="24"/>
      <c r="B363" s="13"/>
      <c r="C363" s="13">
        <v>22</v>
      </c>
      <c r="D363" s="14"/>
      <c r="E363" s="15"/>
      <c r="F363" s="15"/>
      <c r="G363" s="15"/>
      <c r="H363" s="15"/>
      <c r="I363" s="15"/>
      <c r="J363" s="16">
        <f t="shared" si="12"/>
        <v>0</v>
      </c>
      <c r="L363" s="14"/>
      <c r="M363" s="15"/>
      <c r="N363" s="15"/>
      <c r="O363" s="15"/>
      <c r="P363" s="15"/>
      <c r="Q363" s="15"/>
      <c r="R363" s="16">
        <f t="shared" si="13"/>
        <v>0</v>
      </c>
      <c r="S363" s="20"/>
      <c r="T363" s="21" t="e">
        <f>bdrate($D363:$D366,E363:E366,$L363:$L366,M363:M366)</f>
        <v>#VALUE!</v>
      </c>
      <c r="U363" s="22" t="e">
        <f>bdrate($D363:$D366,F363:F366,$L363:$L366,N363:N366)</f>
        <v>#VALUE!</v>
      </c>
      <c r="V363" s="22" t="e">
        <f>bdrate($D363:$D366,G363:G366,$L363:$L366,O363:O366)</f>
        <v>#VALUE!</v>
      </c>
      <c r="W363" s="44" t="e">
        <f>bdrateOld($D363:$D366,E363:E366,$L363:$L366,M363:M366)</f>
        <v>#VALUE!</v>
      </c>
      <c r="X363" s="45" t="e">
        <f>bdrateOld($D363:$D366,F363:F366,$L363:$L366,N363:N366)</f>
        <v>#VALUE!</v>
      </c>
      <c r="Y363" s="46" t="e">
        <f>bdrateOld($D363:$D366,G363:G366,$L363:$L366,O363:O366)</f>
        <v>#VALUE!</v>
      </c>
    </row>
    <row r="364" spans="1:25" x14ac:dyDescent="0.2">
      <c r="A364" s="24"/>
      <c r="B364" s="24"/>
      <c r="C364" s="24">
        <v>27</v>
      </c>
      <c r="D364" s="25"/>
      <c r="E364" s="26"/>
      <c r="F364" s="26"/>
      <c r="G364" s="26"/>
      <c r="H364" s="26"/>
      <c r="I364" s="26"/>
      <c r="J364" s="27">
        <f t="shared" si="12"/>
        <v>0</v>
      </c>
      <c r="L364" s="25"/>
      <c r="M364" s="26"/>
      <c r="N364" s="26"/>
      <c r="O364" s="26"/>
      <c r="P364" s="26"/>
      <c r="Q364" s="26"/>
      <c r="R364" s="27">
        <f t="shared" si="13"/>
        <v>0</v>
      </c>
      <c r="S364" s="20"/>
      <c r="T364" s="31"/>
      <c r="U364" s="32"/>
      <c r="V364" s="32"/>
      <c r="W364" s="31"/>
      <c r="X364" s="32"/>
      <c r="Y364" s="33"/>
    </row>
    <row r="365" spans="1:25" x14ac:dyDescent="0.2">
      <c r="A365" s="24"/>
      <c r="B365" s="24"/>
      <c r="C365" s="24">
        <v>32</v>
      </c>
      <c r="D365" s="25"/>
      <c r="E365" s="26"/>
      <c r="F365" s="26"/>
      <c r="G365" s="26"/>
      <c r="H365" s="26"/>
      <c r="I365" s="26"/>
      <c r="J365" s="27">
        <f t="shared" si="12"/>
        <v>0</v>
      </c>
      <c r="L365" s="25"/>
      <c r="M365" s="26"/>
      <c r="N365" s="26"/>
      <c r="O365" s="26"/>
      <c r="P365" s="26"/>
      <c r="Q365" s="26"/>
      <c r="R365" s="27">
        <f t="shared" si="13"/>
        <v>0</v>
      </c>
      <c r="S365" s="20"/>
      <c r="T365" s="31"/>
      <c r="U365" s="32"/>
      <c r="V365" s="32"/>
      <c r="W365" s="31"/>
      <c r="X365" s="32"/>
      <c r="Y365" s="33"/>
    </row>
    <row r="366" spans="1:25" ht="12.75" thickBot="1" x14ac:dyDescent="0.25">
      <c r="A366" s="34"/>
      <c r="B366" s="34"/>
      <c r="C366" s="34">
        <v>37</v>
      </c>
      <c r="D366" s="35"/>
      <c r="E366" s="36"/>
      <c r="F366" s="36"/>
      <c r="G366" s="36"/>
      <c r="H366" s="36"/>
      <c r="I366" s="36"/>
      <c r="J366" s="37">
        <f t="shared" si="12"/>
        <v>0</v>
      </c>
      <c r="L366" s="35"/>
      <c r="M366" s="36"/>
      <c r="N366" s="36"/>
      <c r="O366" s="36"/>
      <c r="P366" s="36"/>
      <c r="Q366" s="36"/>
      <c r="R366" s="37">
        <f t="shared" si="13"/>
        <v>0</v>
      </c>
      <c r="S366" s="20"/>
      <c r="T366" s="41"/>
      <c r="U366" s="42"/>
      <c r="V366" s="42"/>
      <c r="W366" s="41"/>
      <c r="X366" s="42"/>
      <c r="Y366" s="43"/>
    </row>
    <row r="367" spans="1:25" x14ac:dyDescent="0.2">
      <c r="A367" s="13" t="s">
        <v>124</v>
      </c>
      <c r="B367" s="13" t="s">
        <v>109</v>
      </c>
      <c r="C367" s="13">
        <v>22</v>
      </c>
      <c r="D367" s="17">
        <v>124.136</v>
      </c>
      <c r="E367" s="18">
        <v>53.011448000000001</v>
      </c>
      <c r="F367" s="18">
        <v>47.609740000000002</v>
      </c>
      <c r="G367" s="18">
        <v>47.517778999999997</v>
      </c>
      <c r="H367" s="18">
        <v>48.745415000000001</v>
      </c>
      <c r="I367" s="18"/>
      <c r="J367" s="16">
        <f>H367/3600</f>
        <v>1.3540393055555556E-2</v>
      </c>
      <c r="L367" s="17"/>
      <c r="M367" s="18"/>
      <c r="N367" s="18"/>
      <c r="O367" s="18"/>
      <c r="P367" s="18"/>
      <c r="Q367" s="18"/>
      <c r="R367" s="19">
        <f>P367/3600</f>
        <v>0</v>
      </c>
      <c r="S367" s="20"/>
      <c r="T367" s="21" t="e">
        <f>bdrate($D367:$D370,E367:E370,$L367:$L370,M367:M370)</f>
        <v>#VALUE!</v>
      </c>
      <c r="U367" s="22" t="e">
        <f>bdrate($D367:$D370,F367:F370,$L367:$L370,N367:N370)</f>
        <v>#VALUE!</v>
      </c>
      <c r="V367" s="23" t="e">
        <f>bdrate($D367:$D370,G367:G370,$L367:$L370,O367:O370)</f>
        <v>#VALUE!</v>
      </c>
      <c r="W367" s="21" t="e">
        <f>bdrateOld($D367:$D370,E367:E370,$L367:$L370,M367:M370)</f>
        <v>#VALUE!</v>
      </c>
      <c r="X367" s="22" t="e">
        <f>bdrateOld($D367:$D370,F367:F370,$L367:$L370,N367:N370)</f>
        <v>#VALUE!</v>
      </c>
      <c r="Y367" s="23" t="e">
        <f>bdrateOld($D367:$D370,G367:G370,$L367:$L370,O367:O370)</f>
        <v>#VALUE!</v>
      </c>
    </row>
    <row r="368" spans="1:25" x14ac:dyDescent="0.2">
      <c r="A368" s="24"/>
      <c r="B368" s="24" t="s">
        <v>110</v>
      </c>
      <c r="C368" s="24">
        <v>27</v>
      </c>
      <c r="D368" s="28">
        <v>29.64</v>
      </c>
      <c r="E368" s="29">
        <v>52.757835999999998</v>
      </c>
      <c r="F368" s="29">
        <v>47.428204000000001</v>
      </c>
      <c r="G368" s="29">
        <v>47.298748000000003</v>
      </c>
      <c r="H368" s="29">
        <v>48.538229999999999</v>
      </c>
      <c r="I368" s="29"/>
      <c r="J368" s="27">
        <f t="shared" ref="J368:J418" si="14">H368/3600</f>
        <v>1.3482841666666667E-2</v>
      </c>
      <c r="L368" s="28"/>
      <c r="M368" s="29"/>
      <c r="N368" s="29"/>
      <c r="O368" s="29"/>
      <c r="P368" s="29"/>
      <c r="Q368" s="29"/>
      <c r="R368" s="30">
        <f t="shared" ref="R368:R418" si="15">P368/3600</f>
        <v>0</v>
      </c>
      <c r="S368" s="20"/>
      <c r="T368" s="31"/>
      <c r="U368" s="32"/>
      <c r="V368" s="33"/>
      <c r="W368" s="31"/>
      <c r="X368" s="32"/>
      <c r="Y368" s="33"/>
    </row>
    <row r="369" spans="1:25" x14ac:dyDescent="0.2">
      <c r="A369" s="24"/>
      <c r="B369" s="24"/>
      <c r="C369" s="24">
        <v>32</v>
      </c>
      <c r="D369" s="28">
        <v>14.016</v>
      </c>
      <c r="E369" s="29">
        <v>52.071424</v>
      </c>
      <c r="F369" s="29">
        <v>47.291179999999997</v>
      </c>
      <c r="G369" s="29">
        <v>47.161973000000003</v>
      </c>
      <c r="H369" s="29">
        <v>48.328051000000002</v>
      </c>
      <c r="I369" s="29"/>
      <c r="J369" s="27">
        <f t="shared" si="14"/>
        <v>1.3424458611111112E-2</v>
      </c>
      <c r="L369" s="28"/>
      <c r="M369" s="29"/>
      <c r="N369" s="29"/>
      <c r="O369" s="29"/>
      <c r="P369" s="29"/>
      <c r="Q369" s="29"/>
      <c r="R369" s="30">
        <f t="shared" si="15"/>
        <v>0</v>
      </c>
      <c r="S369" s="20"/>
      <c r="T369" s="31"/>
      <c r="U369" s="32"/>
      <c r="V369" s="33"/>
      <c r="W369" s="31"/>
      <c r="X369" s="32"/>
      <c r="Y369" s="33"/>
    </row>
    <row r="370" spans="1:25" ht="12.75" thickBot="1" x14ac:dyDescent="0.25">
      <c r="A370" s="24"/>
      <c r="B370" s="34"/>
      <c r="C370" s="34">
        <v>37</v>
      </c>
      <c r="D370" s="38">
        <v>7.4640000000000004</v>
      </c>
      <c r="E370" s="39">
        <v>50.882187999999999</v>
      </c>
      <c r="F370" s="39">
        <v>47.210140000000003</v>
      </c>
      <c r="G370" s="39">
        <v>46.793284999999997</v>
      </c>
      <c r="H370" s="39">
        <v>47.950017000000003</v>
      </c>
      <c r="I370" s="39"/>
      <c r="J370" s="37">
        <f t="shared" si="14"/>
        <v>1.3319449166666667E-2</v>
      </c>
      <c r="L370" s="38"/>
      <c r="M370" s="39"/>
      <c r="N370" s="39"/>
      <c r="O370" s="39"/>
      <c r="P370" s="39"/>
      <c r="Q370" s="39"/>
      <c r="R370" s="40">
        <f t="shared" si="15"/>
        <v>0</v>
      </c>
      <c r="S370" s="20"/>
      <c r="T370" s="41"/>
      <c r="U370" s="42"/>
      <c r="V370" s="43"/>
      <c r="W370" s="41"/>
      <c r="X370" s="42"/>
      <c r="Y370" s="43"/>
    </row>
    <row r="371" spans="1:25" x14ac:dyDescent="0.2">
      <c r="A371" s="24"/>
      <c r="B371" s="13" t="s">
        <v>111</v>
      </c>
      <c r="C371" s="13">
        <v>22</v>
      </c>
      <c r="D371" s="17">
        <v>1392.9280000000001</v>
      </c>
      <c r="E371" s="18">
        <v>49.553266999999998</v>
      </c>
      <c r="F371" s="18">
        <v>45.110593000000001</v>
      </c>
      <c r="G371" s="18">
        <v>45.158946</v>
      </c>
      <c r="H371" s="18">
        <v>46.173980999999998</v>
      </c>
      <c r="I371" s="18"/>
      <c r="J371" s="16">
        <f t="shared" si="14"/>
        <v>1.2826105833333332E-2</v>
      </c>
      <c r="L371" s="17"/>
      <c r="M371" s="18"/>
      <c r="N371" s="18"/>
      <c r="O371" s="18"/>
      <c r="P371" s="18"/>
      <c r="Q371" s="18"/>
      <c r="R371" s="19">
        <f t="shared" si="15"/>
        <v>0</v>
      </c>
      <c r="S371" s="20"/>
      <c r="T371" s="21" t="e">
        <f>bdrate($D371:$D374,E371:E374,$L371:$L374,M371:M374)</f>
        <v>#VALUE!</v>
      </c>
      <c r="U371" s="22" t="e">
        <f>bdrate($D371:$D374,F371:F374,$L371:$L374,N371:N374)</f>
        <v>#VALUE!</v>
      </c>
      <c r="V371" s="22" t="e">
        <f>bdrate($D371:$D374,G371:G374,$L371:$L374,O371:O374)</f>
        <v>#VALUE!</v>
      </c>
      <c r="W371" s="44" t="e">
        <f>bdrateOld($D371:$D374,E371:E374,$L371:$L374,M371:M374)</f>
        <v>#VALUE!</v>
      </c>
      <c r="X371" s="45" t="e">
        <f>bdrateOld($D371:$D374,F371:F374,$L371:$L374,N371:N374)</f>
        <v>#VALUE!</v>
      </c>
      <c r="Y371" s="46" t="e">
        <f>bdrateOld($D371:$D374,G371:G374,$L371:$L374,O371:O374)</f>
        <v>#VALUE!</v>
      </c>
    </row>
    <row r="372" spans="1:25" x14ac:dyDescent="0.2">
      <c r="A372" s="24"/>
      <c r="B372" s="24"/>
      <c r="C372" s="24">
        <v>27</v>
      </c>
      <c r="D372" s="28">
        <v>252.36</v>
      </c>
      <c r="E372" s="29">
        <v>49.037650999999997</v>
      </c>
      <c r="F372" s="29">
        <v>43.061115999999998</v>
      </c>
      <c r="G372" s="29">
        <v>43.128490999999997</v>
      </c>
      <c r="H372" s="29">
        <v>44.335366999999998</v>
      </c>
      <c r="I372" s="29"/>
      <c r="J372" s="27">
        <f t="shared" si="14"/>
        <v>1.2315379722222221E-2</v>
      </c>
      <c r="L372" s="28"/>
      <c r="M372" s="29"/>
      <c r="N372" s="29"/>
      <c r="O372" s="29"/>
      <c r="P372" s="29"/>
      <c r="Q372" s="29"/>
      <c r="R372" s="30">
        <f t="shared" si="15"/>
        <v>0</v>
      </c>
      <c r="S372" s="20"/>
      <c r="T372" s="31"/>
      <c r="U372" s="32"/>
      <c r="V372" s="32"/>
      <c r="W372" s="31"/>
      <c r="X372" s="32"/>
      <c r="Y372" s="33"/>
    </row>
    <row r="373" spans="1:25" x14ac:dyDescent="0.2">
      <c r="A373" s="24"/>
      <c r="B373" s="24"/>
      <c r="C373" s="24">
        <v>32</v>
      </c>
      <c r="D373" s="28">
        <v>82.456000000000003</v>
      </c>
      <c r="E373" s="29">
        <v>48.284514999999999</v>
      </c>
      <c r="F373" s="29">
        <v>42.433444000000001</v>
      </c>
      <c r="G373" s="29">
        <v>42.536768000000002</v>
      </c>
      <c r="H373" s="29">
        <v>43.709080999999998</v>
      </c>
      <c r="I373" s="29"/>
      <c r="J373" s="27">
        <f t="shared" si="14"/>
        <v>1.2141411388888888E-2</v>
      </c>
      <c r="L373" s="28"/>
      <c r="M373" s="29"/>
      <c r="N373" s="29"/>
      <c r="O373" s="29"/>
      <c r="P373" s="29"/>
      <c r="Q373" s="29"/>
      <c r="R373" s="30">
        <f t="shared" si="15"/>
        <v>0</v>
      </c>
      <c r="S373" s="20"/>
      <c r="T373" s="31"/>
      <c r="U373" s="47"/>
      <c r="V373" s="32"/>
      <c r="W373" s="31"/>
      <c r="X373" s="32"/>
      <c r="Y373" s="33"/>
    </row>
    <row r="374" spans="1:25" ht="12.75" thickBot="1" x14ac:dyDescent="0.25">
      <c r="A374" s="24"/>
      <c r="B374" s="34"/>
      <c r="C374" s="34">
        <v>37</v>
      </c>
      <c r="D374" s="38">
        <v>42.415999999999997</v>
      </c>
      <c r="E374" s="39">
        <v>47.144368</v>
      </c>
      <c r="F374" s="39">
        <v>41.900571999999997</v>
      </c>
      <c r="G374" s="39">
        <v>42.068199</v>
      </c>
      <c r="H374" s="39">
        <v>43.128582000000002</v>
      </c>
      <c r="I374" s="39"/>
      <c r="J374" s="37">
        <f t="shared" si="14"/>
        <v>1.1980161666666668E-2</v>
      </c>
      <c r="L374" s="38"/>
      <c r="M374" s="39"/>
      <c r="N374" s="39"/>
      <c r="O374" s="39"/>
      <c r="P374" s="39"/>
      <c r="Q374" s="39"/>
      <c r="R374" s="40">
        <f t="shared" si="15"/>
        <v>0</v>
      </c>
      <c r="S374" s="20"/>
      <c r="T374" s="41"/>
      <c r="U374" s="42"/>
      <c r="V374" s="42"/>
      <c r="W374" s="41"/>
      <c r="X374" s="42"/>
      <c r="Y374" s="43"/>
    </row>
    <row r="375" spans="1:25" x14ac:dyDescent="0.2">
      <c r="A375" s="118"/>
      <c r="B375" s="117" t="s">
        <v>112</v>
      </c>
      <c r="C375" s="117">
        <v>22</v>
      </c>
      <c r="D375" s="17">
        <v>913.23199999999997</v>
      </c>
      <c r="E375" s="18">
        <v>54.250163999999998</v>
      </c>
      <c r="F375" s="18">
        <v>524.14623900000004</v>
      </c>
      <c r="G375" s="18">
        <v>524.975369</v>
      </c>
      <c r="H375" s="18">
        <v>52.657246999999998</v>
      </c>
      <c r="I375" s="18"/>
      <c r="J375" s="16">
        <f t="shared" si="14"/>
        <v>1.4627013055555554E-2</v>
      </c>
      <c r="L375" s="14">
        <v>385.98399999999998</v>
      </c>
      <c r="M375" s="15">
        <v>53.840947999999997</v>
      </c>
      <c r="N375" s="15">
        <v>522.80305999999996</v>
      </c>
      <c r="O375" s="15">
        <v>524.00705700000003</v>
      </c>
      <c r="P375" s="15">
        <v>50.631298000000001</v>
      </c>
      <c r="Q375" s="18"/>
      <c r="R375" s="19">
        <f t="shared" si="15"/>
        <v>1.4064249444444444E-2</v>
      </c>
      <c r="S375" s="20"/>
      <c r="T375" s="21">
        <f>bdrate($D375:$D378,E375:E378,$L375:$L378,M375:M378)</f>
        <v>-0.37022936004986406</v>
      </c>
      <c r="U375" s="22">
        <f>bdrate($D375:$D378,F375:F378,$L375:$L378,N375:N378)</f>
        <v>0.10092643606987872</v>
      </c>
      <c r="V375" s="22">
        <f>bdrate($D375:$D378,G375:G378,$L375:$L378,O375:O378)</f>
        <v>4.6185475249566288E-2</v>
      </c>
      <c r="W375" s="44">
        <f>bdrateOld($D375:$D378,E375:E378,$L375:$L378,M375:M378)</f>
        <v>-0.36398672519633579</v>
      </c>
      <c r="X375" s="45">
        <f>bdrateOld($D375:$D378,F375:F378,$L375:$L378,N375:N378)</f>
        <v>-0.17096865481342705</v>
      </c>
      <c r="Y375" s="46">
        <f>bdrateOld($D375:$D378,G375:G378,$L375:$L378,O375:O378)</f>
        <v>3.0325020584964621E+17</v>
      </c>
    </row>
    <row r="376" spans="1:25" x14ac:dyDescent="0.2">
      <c r="A376" s="118"/>
      <c r="B376" s="118"/>
      <c r="C376" s="118">
        <v>27</v>
      </c>
      <c r="D376" s="28">
        <v>333.19200000000001</v>
      </c>
      <c r="E376" s="29">
        <v>53.229443000000003</v>
      </c>
      <c r="F376" s="29">
        <v>522.73616000000004</v>
      </c>
      <c r="G376" s="29">
        <v>523.97969000000001</v>
      </c>
      <c r="H376" s="29">
        <v>50.463959000000003</v>
      </c>
      <c r="I376" s="29"/>
      <c r="J376" s="27">
        <f t="shared" si="14"/>
        <v>1.4017766388888889E-2</v>
      </c>
      <c r="L376" s="25">
        <v>89.567999999999998</v>
      </c>
      <c r="M376" s="26">
        <v>52.671824000000001</v>
      </c>
      <c r="N376" s="26">
        <v>521.35301500000003</v>
      </c>
      <c r="O376" s="26">
        <v>523.42590299999995</v>
      </c>
      <c r="P376" s="26">
        <v>48.460625999999998</v>
      </c>
      <c r="Q376" s="29"/>
      <c r="R376" s="30">
        <f t="shared" si="15"/>
        <v>1.3461285E-2</v>
      </c>
      <c r="S376" s="20"/>
      <c r="T376" s="31"/>
      <c r="U376" s="32"/>
      <c r="V376" s="32"/>
      <c r="W376" s="31"/>
      <c r="X376" s="32"/>
      <c r="Y376" s="33"/>
    </row>
    <row r="377" spans="1:25" x14ac:dyDescent="0.2">
      <c r="A377" s="118"/>
      <c r="B377" s="118" t="s">
        <v>126</v>
      </c>
      <c r="C377" s="118">
        <v>32</v>
      </c>
      <c r="D377" s="28">
        <v>101.752</v>
      </c>
      <c r="E377" s="29">
        <v>52.114117</v>
      </c>
      <c r="F377" s="29">
        <v>521.60427300000003</v>
      </c>
      <c r="G377" s="29">
        <v>523.478523</v>
      </c>
      <c r="H377" s="29">
        <v>48.743293999999999</v>
      </c>
      <c r="I377" s="29"/>
      <c r="J377" s="27">
        <f t="shared" si="14"/>
        <v>1.3539803888888889E-2</v>
      </c>
      <c r="L377" s="25">
        <v>33.567999999999998</v>
      </c>
      <c r="M377" s="26">
        <v>50.795102</v>
      </c>
      <c r="N377" s="26">
        <v>66.433068000000006</v>
      </c>
      <c r="O377" s="26">
        <v>68.616550000000004</v>
      </c>
      <c r="P377" s="26">
        <v>47.370989999999999</v>
      </c>
      <c r="Q377" s="29"/>
      <c r="R377" s="30">
        <f t="shared" si="15"/>
        <v>1.3158608333333334E-2</v>
      </c>
      <c r="S377" s="20"/>
      <c r="T377" s="31"/>
      <c r="U377" s="32"/>
      <c r="V377" s="32"/>
      <c r="W377" s="31"/>
      <c r="X377" s="32"/>
      <c r="Y377" s="33"/>
    </row>
    <row r="378" spans="1:25" ht="12.75" thickBot="1" x14ac:dyDescent="0.25">
      <c r="A378" s="118"/>
      <c r="B378" s="119"/>
      <c r="C378" s="119">
        <v>37</v>
      </c>
      <c r="D378" s="38">
        <v>31.408000000000001</v>
      </c>
      <c r="E378" s="39">
        <v>50.351269000000002</v>
      </c>
      <c r="F378" s="39">
        <v>520.99467600000003</v>
      </c>
      <c r="G378" s="39">
        <v>523.20406200000002</v>
      </c>
      <c r="H378" s="39">
        <v>47.595041000000002</v>
      </c>
      <c r="I378" s="39"/>
      <c r="J378" s="37">
        <f t="shared" si="14"/>
        <v>1.3220844722222222E-2</v>
      </c>
      <c r="L378" s="35">
        <v>18.911999999999999</v>
      </c>
      <c r="M378" s="36">
        <v>47.934306999999997</v>
      </c>
      <c r="N378" s="36">
        <v>520.11671000000001</v>
      </c>
      <c r="O378" s="36">
        <v>521.46896500000003</v>
      </c>
      <c r="P378" s="36">
        <v>45.109969</v>
      </c>
      <c r="Q378" s="39"/>
      <c r="R378" s="40">
        <f t="shared" si="15"/>
        <v>1.2530546944444445E-2</v>
      </c>
      <c r="S378" s="20"/>
      <c r="T378" s="41"/>
      <c r="U378" s="42"/>
      <c r="V378" s="42"/>
      <c r="W378" s="41"/>
      <c r="X378" s="42"/>
      <c r="Y378" s="43"/>
    </row>
    <row r="379" spans="1:25" x14ac:dyDescent="0.2">
      <c r="A379" s="118"/>
      <c r="B379" s="117" t="s">
        <v>113</v>
      </c>
      <c r="C379" s="117">
        <v>22</v>
      </c>
      <c r="D379" s="17">
        <v>913.23199999999997</v>
      </c>
      <c r="E379" s="18">
        <v>54.250163999999998</v>
      </c>
      <c r="F379" s="18">
        <v>524.14623900000004</v>
      </c>
      <c r="G379" s="18">
        <v>524.975369</v>
      </c>
      <c r="H379" s="18">
        <v>52.657246999999998</v>
      </c>
      <c r="I379" s="18"/>
      <c r="J379" s="16">
        <f t="shared" si="14"/>
        <v>1.4627013055555554E-2</v>
      </c>
      <c r="L379" s="17"/>
      <c r="M379" s="18"/>
      <c r="N379" s="18"/>
      <c r="O379" s="18"/>
      <c r="P379" s="18"/>
      <c r="Q379" s="18"/>
      <c r="R379" s="19">
        <f t="shared" si="15"/>
        <v>0</v>
      </c>
      <c r="S379" s="20"/>
      <c r="T379" s="21" t="e">
        <f>bdrate($D379:$D382,E379:E382,$L379:$L382,M379:M382)</f>
        <v>#VALUE!</v>
      </c>
      <c r="U379" s="22" t="e">
        <f>bdrate($D379:$D382,F379:F382,$L379:$L382,N379:N382)</f>
        <v>#VALUE!</v>
      </c>
      <c r="V379" s="22" t="e">
        <f>bdrate($D379:$D382,G379:G382,$L379:$L382,O379:O382)</f>
        <v>#VALUE!</v>
      </c>
      <c r="W379" s="44" t="e">
        <f>bdrateOld($D379:$D382,E379:E382,$L379:$L382,M379:M382)</f>
        <v>#VALUE!</v>
      </c>
      <c r="X379" s="45" t="e">
        <f>bdrateOld($D379:$D382,F379:F382,$L379:$L382,N379:N382)</f>
        <v>#VALUE!</v>
      </c>
      <c r="Y379" s="46" t="e">
        <f>bdrateOld($D379:$D382,G379:G382,$L379:$L382,O379:O382)</f>
        <v>#VALUE!</v>
      </c>
    </row>
    <row r="380" spans="1:25" x14ac:dyDescent="0.2">
      <c r="A380" s="118"/>
      <c r="B380" s="118"/>
      <c r="C380" s="118">
        <v>27</v>
      </c>
      <c r="D380" s="28">
        <v>333.19200000000001</v>
      </c>
      <c r="E380" s="29">
        <v>53.229443000000003</v>
      </c>
      <c r="F380" s="29">
        <v>522.73616000000004</v>
      </c>
      <c r="G380" s="29">
        <v>523.97969000000001</v>
      </c>
      <c r="H380" s="29">
        <v>50.463959000000003</v>
      </c>
      <c r="I380" s="29"/>
      <c r="J380" s="27">
        <f t="shared" si="14"/>
        <v>1.4017766388888889E-2</v>
      </c>
      <c r="L380" s="28"/>
      <c r="M380" s="29"/>
      <c r="N380" s="29"/>
      <c r="O380" s="29"/>
      <c r="P380" s="29"/>
      <c r="Q380" s="29"/>
      <c r="R380" s="30">
        <f t="shared" si="15"/>
        <v>0</v>
      </c>
      <c r="S380" s="20"/>
      <c r="T380" s="31"/>
      <c r="U380" s="32"/>
      <c r="V380" s="32"/>
      <c r="W380" s="31"/>
      <c r="X380" s="32"/>
      <c r="Y380" s="33"/>
    </row>
    <row r="381" spans="1:25" x14ac:dyDescent="0.2">
      <c r="A381" s="118"/>
      <c r="B381" s="118" t="s">
        <v>126</v>
      </c>
      <c r="C381" s="118">
        <v>32</v>
      </c>
      <c r="D381" s="28">
        <v>101.752</v>
      </c>
      <c r="E381" s="29">
        <v>52.114117</v>
      </c>
      <c r="F381" s="29">
        <v>521.60427300000003</v>
      </c>
      <c r="G381" s="29">
        <v>523.478523</v>
      </c>
      <c r="H381" s="29">
        <v>48.743293999999999</v>
      </c>
      <c r="I381" s="29"/>
      <c r="J381" s="27">
        <f t="shared" si="14"/>
        <v>1.3539803888888889E-2</v>
      </c>
      <c r="L381" s="28"/>
      <c r="M381" s="29"/>
      <c r="N381" s="29"/>
      <c r="O381" s="29"/>
      <c r="P381" s="29"/>
      <c r="Q381" s="29"/>
      <c r="R381" s="30">
        <f t="shared" si="15"/>
        <v>0</v>
      </c>
      <c r="S381" s="20"/>
      <c r="T381" s="31"/>
      <c r="U381" s="32"/>
      <c r="V381" s="32"/>
      <c r="W381" s="31"/>
      <c r="X381" s="32"/>
      <c r="Y381" s="33"/>
    </row>
    <row r="382" spans="1:25" ht="12.75" thickBot="1" x14ac:dyDescent="0.25">
      <c r="A382" s="118"/>
      <c r="B382" s="119"/>
      <c r="C382" s="119">
        <v>37</v>
      </c>
      <c r="D382" s="38">
        <v>31.408000000000001</v>
      </c>
      <c r="E382" s="39">
        <v>50.351269000000002</v>
      </c>
      <c r="F382" s="39">
        <v>520.99467600000003</v>
      </c>
      <c r="G382" s="39">
        <v>523.20406200000002</v>
      </c>
      <c r="H382" s="39">
        <v>47.595041000000002</v>
      </c>
      <c r="I382" s="39"/>
      <c r="J382" s="37">
        <f t="shared" si="14"/>
        <v>1.3220844722222222E-2</v>
      </c>
      <c r="L382" s="38"/>
      <c r="M382" s="39"/>
      <c r="N382" s="39"/>
      <c r="O382" s="39"/>
      <c r="P382" s="39"/>
      <c r="Q382" s="39"/>
      <c r="R382" s="40">
        <f t="shared" si="15"/>
        <v>0</v>
      </c>
      <c r="S382" s="20"/>
      <c r="T382" s="41"/>
      <c r="U382" s="42"/>
      <c r="V382" s="42"/>
      <c r="W382" s="41"/>
      <c r="X382" s="42"/>
      <c r="Y382" s="43"/>
    </row>
    <row r="383" spans="1:25" x14ac:dyDescent="0.2">
      <c r="A383" s="24"/>
      <c r="B383" s="13" t="s">
        <v>115</v>
      </c>
      <c r="C383" s="13">
        <v>22</v>
      </c>
      <c r="D383" s="14">
        <v>51.552</v>
      </c>
      <c r="E383" s="15">
        <v>55.102919</v>
      </c>
      <c r="F383" s="15"/>
      <c r="G383" s="15"/>
      <c r="H383" s="15"/>
      <c r="I383" s="15"/>
      <c r="J383" s="16">
        <f t="shared" si="14"/>
        <v>0</v>
      </c>
      <c r="L383" s="14"/>
      <c r="M383" s="15"/>
      <c r="N383" s="15"/>
      <c r="O383" s="15"/>
      <c r="P383" s="15"/>
      <c r="Q383" s="15"/>
      <c r="R383" s="16">
        <f t="shared" si="15"/>
        <v>0</v>
      </c>
      <c r="S383" s="20"/>
      <c r="T383" s="21" t="e">
        <f>bdrate($D383:$D386,E383:E386,$L383:$L386,M383:M386)</f>
        <v>#VALUE!</v>
      </c>
      <c r="U383" s="22" t="e">
        <f>bdrate($D383:$D386,F383:F386,$L383:$L386,N383:N386)</f>
        <v>#VALUE!</v>
      </c>
      <c r="V383" s="22" t="e">
        <f>bdrate($D383:$D386,G383:G386,$L383:$L386,O383:O386)</f>
        <v>#VALUE!</v>
      </c>
      <c r="W383" s="44" t="e">
        <f>bdrateOld($D383:$D386,E383:E386,$L383:$L386,M383:M386)</f>
        <v>#VALUE!</v>
      </c>
      <c r="X383" s="45" t="e">
        <f>bdrateOld($D383:$D386,F383:F386,$L383:$L386,N383:N386)</f>
        <v>#VALUE!</v>
      </c>
      <c r="Y383" s="46" t="e">
        <f>bdrateOld($D383:$D386,G383:G386,$L383:$L386,O383:O386)</f>
        <v>#VALUE!</v>
      </c>
    </row>
    <row r="384" spans="1:25" x14ac:dyDescent="0.2">
      <c r="A384" s="24"/>
      <c r="B384" s="24" t="s">
        <v>114</v>
      </c>
      <c r="C384" s="24">
        <v>27</v>
      </c>
      <c r="D384" s="25">
        <v>27.888000000000002</v>
      </c>
      <c r="E384" s="26">
        <v>54.042684999999999</v>
      </c>
      <c r="F384" s="26"/>
      <c r="G384" s="26"/>
      <c r="H384" s="26"/>
      <c r="I384" s="26"/>
      <c r="J384" s="27">
        <f t="shared" si="14"/>
        <v>0</v>
      </c>
      <c r="L384" s="25"/>
      <c r="M384" s="26"/>
      <c r="N384" s="26"/>
      <c r="O384" s="26"/>
      <c r="P384" s="26"/>
      <c r="Q384" s="26"/>
      <c r="R384" s="27">
        <f t="shared" si="15"/>
        <v>0</v>
      </c>
      <c r="S384" s="20"/>
      <c r="T384" s="31"/>
      <c r="U384" s="32"/>
      <c r="V384" s="32"/>
      <c r="W384" s="31"/>
      <c r="X384" s="32"/>
      <c r="Y384" s="33"/>
    </row>
    <row r="385" spans="1:25" x14ac:dyDescent="0.2">
      <c r="A385" s="24"/>
      <c r="B385" s="24"/>
      <c r="C385" s="24">
        <v>32</v>
      </c>
      <c r="D385" s="25">
        <v>16.704000000000001</v>
      </c>
      <c r="E385" s="26">
        <v>52.628385000000002</v>
      </c>
      <c r="F385" s="26"/>
      <c r="G385" s="26"/>
      <c r="H385" s="26"/>
      <c r="I385" s="26"/>
      <c r="J385" s="27">
        <f t="shared" si="14"/>
        <v>0</v>
      </c>
      <c r="L385" s="25"/>
      <c r="M385" s="26"/>
      <c r="N385" s="26"/>
      <c r="O385" s="26"/>
      <c r="P385" s="26"/>
      <c r="Q385" s="26"/>
      <c r="R385" s="27">
        <f t="shared" si="15"/>
        <v>0</v>
      </c>
      <c r="S385" s="20"/>
      <c r="T385" s="31"/>
      <c r="U385" s="32"/>
      <c r="V385" s="32"/>
      <c r="W385" s="31"/>
      <c r="X385" s="32"/>
      <c r="Y385" s="33"/>
    </row>
    <row r="386" spans="1:25" ht="12.75" thickBot="1" x14ac:dyDescent="0.25">
      <c r="A386" s="24"/>
      <c r="B386" s="34"/>
      <c r="C386" s="34">
        <v>37</v>
      </c>
      <c r="D386" s="35">
        <v>10.192</v>
      </c>
      <c r="E386" s="36">
        <v>50.575383000000002</v>
      </c>
      <c r="F386" s="36"/>
      <c r="G386" s="36"/>
      <c r="H386" s="36"/>
      <c r="I386" s="36"/>
      <c r="J386" s="37">
        <f t="shared" si="14"/>
        <v>0</v>
      </c>
      <c r="L386" s="35"/>
      <c r="M386" s="36"/>
      <c r="N386" s="36"/>
      <c r="O386" s="36"/>
      <c r="P386" s="36"/>
      <c r="Q386" s="36"/>
      <c r="R386" s="37">
        <f t="shared" si="15"/>
        <v>0</v>
      </c>
      <c r="S386" s="20"/>
      <c r="T386" s="41"/>
      <c r="U386" s="42"/>
      <c r="V386" s="42"/>
      <c r="W386" s="41"/>
      <c r="X386" s="42"/>
      <c r="Y386" s="43"/>
    </row>
    <row r="387" spans="1:25" x14ac:dyDescent="0.2">
      <c r="A387" s="24"/>
      <c r="B387" s="13" t="s">
        <v>109</v>
      </c>
      <c r="C387" s="13">
        <v>22</v>
      </c>
      <c r="D387" s="14">
        <v>858.52</v>
      </c>
      <c r="E387" s="15">
        <v>53.381819</v>
      </c>
      <c r="F387" s="15">
        <v>48.302478000000001</v>
      </c>
      <c r="G387" s="15">
        <v>49.960737999999999</v>
      </c>
      <c r="H387" s="15">
        <v>50.078366000000003</v>
      </c>
      <c r="I387" s="15"/>
      <c r="J387" s="16">
        <f t="shared" si="14"/>
        <v>1.3910657222222223E-2</v>
      </c>
      <c r="L387" s="14"/>
      <c r="M387" s="15"/>
      <c r="N387" s="15"/>
      <c r="O387" s="15"/>
      <c r="P387" s="15"/>
      <c r="Q387" s="15"/>
      <c r="R387" s="16">
        <f t="shared" si="15"/>
        <v>0</v>
      </c>
      <c r="S387" s="20"/>
      <c r="T387" s="21" t="e">
        <f>bdrate($D387:$D390,E387:E390,$L387:$L390,M387:M390)</f>
        <v>#VALUE!</v>
      </c>
      <c r="U387" s="22" t="e">
        <f>bdrate($D387:$D390,F387:F390,$L387:$L390,N387:N390)</f>
        <v>#VALUE!</v>
      </c>
      <c r="V387" s="22" t="e">
        <f>bdrate($D387:$D390,G387:G390,$L387:$L390,O387:O390)</f>
        <v>#VALUE!</v>
      </c>
      <c r="W387" s="44" t="e">
        <f>bdrateOld($D387:$D390,E387:E390,$L387:$L390,M387:M390)</f>
        <v>#VALUE!</v>
      </c>
      <c r="X387" s="45" t="e">
        <f>bdrateOld($D387:$D390,F387:F390,$L387:$L390,N387:N390)</f>
        <v>#VALUE!</v>
      </c>
      <c r="Y387" s="46" t="e">
        <f>bdrateOld($D387:$D390,G387:G390,$L387:$L390,O387:O390)</f>
        <v>#VALUE!</v>
      </c>
    </row>
    <row r="388" spans="1:25" x14ac:dyDescent="0.2">
      <c r="A388" s="24"/>
      <c r="B388" s="24" t="s">
        <v>114</v>
      </c>
      <c r="C388" s="24">
        <v>27</v>
      </c>
      <c r="D388" s="25">
        <v>302.28800000000001</v>
      </c>
      <c r="E388" s="26">
        <v>52.451644999999999</v>
      </c>
      <c r="F388" s="26">
        <v>45.482320999999999</v>
      </c>
      <c r="G388" s="26">
        <v>47.969380999999998</v>
      </c>
      <c r="H388" s="26">
        <v>47.786185000000003</v>
      </c>
      <c r="I388" s="26"/>
      <c r="J388" s="27">
        <f t="shared" si="14"/>
        <v>1.3273940277777778E-2</v>
      </c>
      <c r="L388" s="25"/>
      <c r="M388" s="26"/>
      <c r="N388" s="26"/>
      <c r="O388" s="26"/>
      <c r="P388" s="26"/>
      <c r="Q388" s="26"/>
      <c r="R388" s="27">
        <f t="shared" si="15"/>
        <v>0</v>
      </c>
      <c r="S388" s="20"/>
      <c r="T388" s="31"/>
      <c r="U388" s="32"/>
      <c r="V388" s="32"/>
      <c r="W388" s="31"/>
      <c r="X388" s="32"/>
      <c r="Y388" s="33"/>
    </row>
    <row r="389" spans="1:25" x14ac:dyDescent="0.2">
      <c r="A389" s="24"/>
      <c r="B389" s="24"/>
      <c r="C389" s="24">
        <v>32</v>
      </c>
      <c r="D389" s="25">
        <v>82.712000000000003</v>
      </c>
      <c r="E389" s="26">
        <v>51.620797000000003</v>
      </c>
      <c r="F389" s="26">
        <v>43.218544999999999</v>
      </c>
      <c r="G389" s="26">
        <v>46.967044999999999</v>
      </c>
      <c r="H389" s="26">
        <v>46.040976999999998</v>
      </c>
      <c r="I389" s="26"/>
      <c r="J389" s="27">
        <f t="shared" si="14"/>
        <v>1.2789160277777777E-2</v>
      </c>
      <c r="L389" s="25"/>
      <c r="M389" s="26"/>
      <c r="N389" s="26"/>
      <c r="O389" s="26"/>
      <c r="P389" s="26"/>
      <c r="Q389" s="26"/>
      <c r="R389" s="27">
        <f t="shared" si="15"/>
        <v>0</v>
      </c>
      <c r="S389" s="20"/>
      <c r="T389" s="31"/>
      <c r="U389" s="32"/>
      <c r="V389" s="32"/>
      <c r="W389" s="31"/>
      <c r="X389" s="32"/>
      <c r="Y389" s="33"/>
    </row>
    <row r="390" spans="1:25" ht="12.75" thickBot="1" x14ac:dyDescent="0.25">
      <c r="A390" s="24"/>
      <c r="B390" s="34"/>
      <c r="C390" s="34">
        <v>37</v>
      </c>
      <c r="D390" s="35">
        <v>21.576000000000001</v>
      </c>
      <c r="E390" s="36">
        <v>50.135679000000003</v>
      </c>
      <c r="F390" s="36">
        <v>41.999352999999999</v>
      </c>
      <c r="G390" s="36">
        <v>46.418123000000001</v>
      </c>
      <c r="H390" s="36">
        <v>44.966141999999998</v>
      </c>
      <c r="I390" s="36"/>
      <c r="J390" s="37">
        <f t="shared" si="14"/>
        <v>1.2490595E-2</v>
      </c>
      <c r="L390" s="35"/>
      <c r="M390" s="36"/>
      <c r="N390" s="36"/>
      <c r="O390" s="36"/>
      <c r="P390" s="36"/>
      <c r="Q390" s="36"/>
      <c r="R390" s="37">
        <f t="shared" si="15"/>
        <v>0</v>
      </c>
      <c r="S390" s="20"/>
      <c r="T390" s="41"/>
      <c r="U390" s="42"/>
      <c r="V390" s="42"/>
      <c r="W390" s="41"/>
      <c r="X390" s="42"/>
      <c r="Y390" s="43"/>
    </row>
    <row r="391" spans="1:25" x14ac:dyDescent="0.2">
      <c r="A391" s="24"/>
      <c r="B391" s="13" t="s">
        <v>112</v>
      </c>
      <c r="C391" s="13">
        <v>22</v>
      </c>
      <c r="D391" s="14">
        <v>385.98399999999998</v>
      </c>
      <c r="E391" s="15">
        <v>53.840947999999997</v>
      </c>
      <c r="F391" s="15">
        <v>522.80305999999996</v>
      </c>
      <c r="G391" s="15">
        <v>524.00705700000003</v>
      </c>
      <c r="H391" s="15">
        <v>50.631298000000001</v>
      </c>
      <c r="I391" s="15"/>
      <c r="J391" s="16">
        <f t="shared" si="14"/>
        <v>1.4064249444444444E-2</v>
      </c>
      <c r="L391" s="14"/>
      <c r="M391" s="15"/>
      <c r="N391" s="15"/>
      <c r="O391" s="15"/>
      <c r="P391" s="15"/>
      <c r="Q391" s="15"/>
      <c r="R391" s="16">
        <f t="shared" si="15"/>
        <v>0</v>
      </c>
      <c r="S391" s="20"/>
      <c r="T391" s="21" t="e">
        <f>bdrate($D391:$D394,E391:E394,$L391:$L394,M391:M394)</f>
        <v>#VALUE!</v>
      </c>
      <c r="U391" s="22" t="e">
        <f>bdrate($D391:$D394,F391:F394,$L391:$L394,N391:N394)</f>
        <v>#VALUE!</v>
      </c>
      <c r="V391" s="22" t="e">
        <f>bdrate($D391:$D394,G391:G394,$L391:$L394,O391:O394)</f>
        <v>#VALUE!</v>
      </c>
      <c r="W391" s="44" t="e">
        <f>bdrateOld($D391:$D394,E391:E394,$L391:$L394,M391:M394)</f>
        <v>#VALUE!</v>
      </c>
      <c r="X391" s="45" t="e">
        <f>bdrateOld($D391:$D394,F391:F394,$L391:$L394,N391:N394)</f>
        <v>#VALUE!</v>
      </c>
      <c r="Y391" s="46" t="e">
        <f>bdrateOld($D391:$D394,G391:G394,$L391:$L394,O391:O394)</f>
        <v>#VALUE!</v>
      </c>
    </row>
    <row r="392" spans="1:25" x14ac:dyDescent="0.2">
      <c r="A392" s="24"/>
      <c r="B392" s="24"/>
      <c r="C392" s="24">
        <v>27</v>
      </c>
      <c r="D392" s="25">
        <v>89.567999999999998</v>
      </c>
      <c r="E392" s="26">
        <v>52.671824000000001</v>
      </c>
      <c r="F392" s="26">
        <v>521.35301500000003</v>
      </c>
      <c r="G392" s="26">
        <v>523.42590299999995</v>
      </c>
      <c r="H392" s="26">
        <v>48.460625999999998</v>
      </c>
      <c r="I392" s="26"/>
      <c r="J392" s="27">
        <f t="shared" si="14"/>
        <v>1.3461285E-2</v>
      </c>
      <c r="L392" s="25"/>
      <c r="M392" s="26"/>
      <c r="N392" s="26"/>
      <c r="O392" s="26"/>
      <c r="P392" s="26"/>
      <c r="Q392" s="26"/>
      <c r="R392" s="27">
        <f t="shared" si="15"/>
        <v>0</v>
      </c>
      <c r="S392" s="20"/>
      <c r="T392" s="31"/>
      <c r="U392" s="32"/>
      <c r="V392" s="32"/>
      <c r="W392" s="31"/>
      <c r="X392" s="32"/>
      <c r="Y392" s="33"/>
    </row>
    <row r="393" spans="1:25" x14ac:dyDescent="0.2">
      <c r="A393" s="24"/>
      <c r="B393" s="24" t="s">
        <v>116</v>
      </c>
      <c r="C393" s="24">
        <v>32</v>
      </c>
      <c r="D393" s="25">
        <v>33.567999999999998</v>
      </c>
      <c r="E393" s="26">
        <v>50.795102</v>
      </c>
      <c r="F393" s="26">
        <v>66.433068000000006</v>
      </c>
      <c r="G393" s="26">
        <v>68.616550000000004</v>
      </c>
      <c r="H393" s="26">
        <v>47.370989999999999</v>
      </c>
      <c r="I393" s="26"/>
      <c r="J393" s="27">
        <f t="shared" si="14"/>
        <v>1.3158608333333334E-2</v>
      </c>
      <c r="L393" s="25"/>
      <c r="M393" s="26"/>
      <c r="N393" s="26"/>
      <c r="O393" s="26"/>
      <c r="P393" s="26"/>
      <c r="Q393" s="26"/>
      <c r="R393" s="27">
        <f t="shared" si="15"/>
        <v>0</v>
      </c>
      <c r="S393" s="20"/>
      <c r="T393" s="31"/>
      <c r="U393" s="32"/>
      <c r="V393" s="32"/>
      <c r="W393" s="31"/>
      <c r="X393" s="32"/>
      <c r="Y393" s="33"/>
    </row>
    <row r="394" spans="1:25" ht="12.75" thickBot="1" x14ac:dyDescent="0.25">
      <c r="A394" s="24"/>
      <c r="B394" s="34"/>
      <c r="C394" s="34">
        <v>37</v>
      </c>
      <c r="D394" s="35">
        <v>18.911999999999999</v>
      </c>
      <c r="E394" s="36">
        <v>47.934306999999997</v>
      </c>
      <c r="F394" s="36">
        <v>520.11671000000001</v>
      </c>
      <c r="G394" s="36">
        <v>521.46896500000003</v>
      </c>
      <c r="H394" s="36">
        <v>45.109969</v>
      </c>
      <c r="I394" s="36"/>
      <c r="J394" s="37">
        <f t="shared" si="14"/>
        <v>1.2530546944444445E-2</v>
      </c>
      <c r="L394" s="35"/>
      <c r="M394" s="36"/>
      <c r="N394" s="36"/>
      <c r="O394" s="36"/>
      <c r="P394" s="36"/>
      <c r="Q394" s="36"/>
      <c r="R394" s="37">
        <f t="shared" si="15"/>
        <v>0</v>
      </c>
      <c r="S394" s="20"/>
      <c r="T394" s="41"/>
      <c r="U394" s="42"/>
      <c r="V394" s="42"/>
      <c r="W394" s="41"/>
      <c r="X394" s="42"/>
      <c r="Y394" s="43"/>
    </row>
    <row r="395" spans="1:25" x14ac:dyDescent="0.2">
      <c r="A395" s="24"/>
      <c r="B395" s="13" t="s">
        <v>113</v>
      </c>
      <c r="C395" s="13">
        <v>22</v>
      </c>
      <c r="D395" s="14">
        <v>953.68799999999999</v>
      </c>
      <c r="E395" s="15">
        <v>53.768368000000002</v>
      </c>
      <c r="F395" s="15">
        <v>66.463601999999995</v>
      </c>
      <c r="G395" s="15">
        <v>72.793859999999995</v>
      </c>
      <c r="H395" s="15">
        <v>52.708179999999999</v>
      </c>
      <c r="I395" s="15"/>
      <c r="J395" s="16">
        <f t="shared" si="14"/>
        <v>1.4641161111111111E-2</v>
      </c>
      <c r="L395" s="14"/>
      <c r="M395" s="15"/>
      <c r="N395" s="15"/>
      <c r="O395" s="15"/>
      <c r="P395" s="15"/>
      <c r="Q395" s="15"/>
      <c r="R395" s="16">
        <f t="shared" si="15"/>
        <v>0</v>
      </c>
      <c r="S395" s="20"/>
      <c r="T395" s="21" t="e">
        <f>bdrate($D395:$D398,E395:E398,$L395:$L398,M395:M398)</f>
        <v>#VALUE!</v>
      </c>
      <c r="U395" s="22" t="e">
        <f>bdrate($D395:$D398,F395:F398,$L395:$L398,N395:N398)</f>
        <v>#VALUE!</v>
      </c>
      <c r="V395" s="22" t="e">
        <f>bdrate($D395:$D398,G395:G398,$L395:$L398,O395:O398)</f>
        <v>#VALUE!</v>
      </c>
      <c r="W395" s="44" t="e">
        <f>bdrateOld($D395:$D398,E395:E398,$L395:$L398,M395:M398)</f>
        <v>#VALUE!</v>
      </c>
      <c r="X395" s="45" t="e">
        <f>bdrateOld($D395:$D398,F395:F398,$L395:$L398,N395:N398)</f>
        <v>#VALUE!</v>
      </c>
      <c r="Y395" s="46" t="e">
        <f>bdrateOld($D395:$D398,G395:G398,$L395:$L398,O395:O398)</f>
        <v>#VALUE!</v>
      </c>
    </row>
    <row r="396" spans="1:25" x14ac:dyDescent="0.2">
      <c r="A396" s="24"/>
      <c r="B396" s="24"/>
      <c r="C396" s="24">
        <v>27</v>
      </c>
      <c r="D396" s="25">
        <v>350.14400000000001</v>
      </c>
      <c r="E396" s="26">
        <v>52.278855</v>
      </c>
      <c r="F396" s="26">
        <v>50.852719999999998</v>
      </c>
      <c r="G396" s="26">
        <v>52.044420000000002</v>
      </c>
      <c r="H396" s="26">
        <v>50.052396000000002</v>
      </c>
      <c r="I396" s="26"/>
      <c r="J396" s="27">
        <f t="shared" si="14"/>
        <v>1.3903443333333335E-2</v>
      </c>
      <c r="L396" s="25"/>
      <c r="M396" s="26"/>
      <c r="N396" s="26"/>
      <c r="O396" s="26"/>
      <c r="P396" s="26"/>
      <c r="Q396" s="26"/>
      <c r="R396" s="27">
        <f t="shared" si="15"/>
        <v>0</v>
      </c>
      <c r="S396" s="20"/>
      <c r="T396" s="31"/>
      <c r="U396" s="32"/>
      <c r="V396" s="32"/>
      <c r="W396" s="31"/>
      <c r="X396" s="32"/>
      <c r="Y396" s="33"/>
    </row>
    <row r="397" spans="1:25" x14ac:dyDescent="0.2">
      <c r="A397" s="24"/>
      <c r="B397" s="24" t="s">
        <v>116</v>
      </c>
      <c r="C397" s="24">
        <v>32</v>
      </c>
      <c r="D397" s="25">
        <v>104.64</v>
      </c>
      <c r="E397" s="26">
        <v>50.433183</v>
      </c>
      <c r="F397" s="26">
        <v>49.570692000000001</v>
      </c>
      <c r="G397" s="26">
        <v>49.937325000000001</v>
      </c>
      <c r="H397" s="26">
        <v>48.123654000000002</v>
      </c>
      <c r="I397" s="26"/>
      <c r="J397" s="27">
        <f t="shared" si="14"/>
        <v>1.3367681666666667E-2</v>
      </c>
      <c r="L397" s="25"/>
      <c r="M397" s="26"/>
      <c r="N397" s="26"/>
      <c r="O397" s="26"/>
      <c r="P397" s="26"/>
      <c r="Q397" s="26"/>
      <c r="R397" s="27">
        <f t="shared" si="15"/>
        <v>0</v>
      </c>
      <c r="S397" s="20"/>
      <c r="T397" s="31"/>
      <c r="U397" s="32"/>
      <c r="V397" s="32"/>
      <c r="W397" s="31"/>
      <c r="X397" s="32"/>
      <c r="Y397" s="33"/>
    </row>
    <row r="398" spans="1:25" ht="12.75" thickBot="1" x14ac:dyDescent="0.25">
      <c r="A398" s="24"/>
      <c r="B398" s="34"/>
      <c r="C398" s="34">
        <v>37</v>
      </c>
      <c r="D398" s="35">
        <v>30.08</v>
      </c>
      <c r="E398" s="36">
        <v>48.216895000000001</v>
      </c>
      <c r="F398" s="36">
        <v>43.598897000000001</v>
      </c>
      <c r="G398" s="36">
        <v>45.485855999999998</v>
      </c>
      <c r="H398" s="36">
        <v>45.119497000000003</v>
      </c>
      <c r="I398" s="36"/>
      <c r="J398" s="37">
        <f t="shared" si="14"/>
        <v>1.2533193611111111E-2</v>
      </c>
      <c r="L398" s="35"/>
      <c r="M398" s="36"/>
      <c r="N398" s="36"/>
      <c r="O398" s="36"/>
      <c r="P398" s="36"/>
      <c r="Q398" s="36"/>
      <c r="R398" s="37">
        <f t="shared" si="15"/>
        <v>0</v>
      </c>
      <c r="S398" s="20"/>
      <c r="T398" s="41"/>
      <c r="U398" s="42"/>
      <c r="V398" s="42"/>
      <c r="W398" s="41"/>
      <c r="X398" s="42"/>
      <c r="Y398" s="43"/>
    </row>
    <row r="399" spans="1:25" x14ac:dyDescent="0.2">
      <c r="A399" s="24"/>
      <c r="B399" s="13" t="s">
        <v>127</v>
      </c>
      <c r="C399" s="13">
        <v>22</v>
      </c>
      <c r="D399" s="14">
        <v>981.64</v>
      </c>
      <c r="E399" s="15">
        <v>45.976090999999997</v>
      </c>
      <c r="F399" s="15"/>
      <c r="G399" s="15"/>
      <c r="H399" s="15"/>
      <c r="I399" s="15"/>
      <c r="J399" s="16">
        <f t="shared" si="14"/>
        <v>0</v>
      </c>
      <c r="L399" s="14"/>
      <c r="M399" s="15"/>
      <c r="N399" s="15"/>
      <c r="O399" s="15"/>
      <c r="P399" s="15"/>
      <c r="Q399" s="15"/>
      <c r="R399" s="16">
        <f t="shared" si="15"/>
        <v>0</v>
      </c>
      <c r="S399" s="20"/>
      <c r="T399" s="21" t="e">
        <f>bdrate($D399:$D402,E399:E402,$L399:$L402,M399:M402)</f>
        <v>#VALUE!</v>
      </c>
      <c r="U399" s="22" t="e">
        <f>bdrate($D399:$D402,F399:F402,$L399:$L402,N399:N402)</f>
        <v>#VALUE!</v>
      </c>
      <c r="V399" s="22" t="e">
        <f>bdrate($D399:$D402,G399:G402,$L399:$L402,O399:O402)</f>
        <v>#VALUE!</v>
      </c>
      <c r="W399" s="44" t="e">
        <f>bdrateOld($D399:$D402,E399:E402,$L399:$L402,M399:M402)</f>
        <v>#VALUE!</v>
      </c>
      <c r="X399" s="45" t="e">
        <f>bdrateOld($D399:$D402,F399:F402,$L399:$L402,N399:N402)</f>
        <v>#VALUE!</v>
      </c>
      <c r="Y399" s="46" t="e">
        <f>bdrateOld($D399:$D402,G399:G402,$L399:$L402,O399:O402)</f>
        <v>#VALUE!</v>
      </c>
    </row>
    <row r="400" spans="1:25" x14ac:dyDescent="0.2">
      <c r="A400" s="24"/>
      <c r="B400" s="152">
        <v>400</v>
      </c>
      <c r="C400" s="24">
        <v>27</v>
      </c>
      <c r="D400" s="25">
        <v>181.792</v>
      </c>
      <c r="E400" s="26">
        <v>44.582842999999997</v>
      </c>
      <c r="F400" s="26"/>
      <c r="G400" s="26"/>
      <c r="H400" s="26"/>
      <c r="I400" s="26"/>
      <c r="J400" s="27">
        <f t="shared" si="14"/>
        <v>0</v>
      </c>
      <c r="L400" s="25"/>
      <c r="M400" s="26"/>
      <c r="N400" s="26"/>
      <c r="O400" s="26"/>
      <c r="P400" s="26"/>
      <c r="Q400" s="26"/>
      <c r="R400" s="27">
        <f t="shared" si="15"/>
        <v>0</v>
      </c>
      <c r="S400" s="20"/>
      <c r="T400" s="31"/>
      <c r="U400" s="32"/>
      <c r="V400" s="32"/>
      <c r="W400" s="31"/>
      <c r="X400" s="32"/>
      <c r="Y400" s="33"/>
    </row>
    <row r="401" spans="1:25" x14ac:dyDescent="0.2">
      <c r="A401" s="24"/>
      <c r="B401" s="24" t="s">
        <v>128</v>
      </c>
      <c r="C401" s="24">
        <v>32</v>
      </c>
      <c r="D401" s="25">
        <v>60.351999999999997</v>
      </c>
      <c r="E401" s="26">
        <v>43.657063999999998</v>
      </c>
      <c r="F401" s="26"/>
      <c r="G401" s="26"/>
      <c r="H401" s="26"/>
      <c r="I401" s="26"/>
      <c r="J401" s="27">
        <f t="shared" si="14"/>
        <v>0</v>
      </c>
      <c r="L401" s="25"/>
      <c r="M401" s="26"/>
      <c r="N401" s="26"/>
      <c r="O401" s="26"/>
      <c r="P401" s="26"/>
      <c r="Q401" s="26"/>
      <c r="R401" s="27">
        <f t="shared" si="15"/>
        <v>0</v>
      </c>
      <c r="S401" s="20"/>
      <c r="T401" s="31"/>
      <c r="U401" s="32"/>
      <c r="V401" s="32"/>
      <c r="W401" s="31"/>
      <c r="X401" s="32"/>
      <c r="Y401" s="33"/>
    </row>
    <row r="402" spans="1:25" ht="12.75" thickBot="1" x14ac:dyDescent="0.25">
      <c r="A402" s="24"/>
      <c r="B402" s="34"/>
      <c r="C402" s="34">
        <v>37</v>
      </c>
      <c r="D402" s="35">
        <v>32.32</v>
      </c>
      <c r="E402" s="36">
        <v>42.406216999999998</v>
      </c>
      <c r="F402" s="36"/>
      <c r="G402" s="36"/>
      <c r="H402" s="36"/>
      <c r="I402" s="36"/>
      <c r="J402" s="37">
        <f t="shared" si="14"/>
        <v>0</v>
      </c>
      <c r="L402" s="35"/>
      <c r="M402" s="36"/>
      <c r="N402" s="36"/>
      <c r="O402" s="36"/>
      <c r="P402" s="36"/>
      <c r="Q402" s="36"/>
      <c r="R402" s="37">
        <f t="shared" si="15"/>
        <v>0</v>
      </c>
      <c r="S402" s="20"/>
      <c r="T402" s="41"/>
      <c r="U402" s="42"/>
      <c r="V402" s="42"/>
      <c r="W402" s="41"/>
      <c r="X402" s="42"/>
      <c r="Y402" s="43"/>
    </row>
    <row r="403" spans="1:25" x14ac:dyDescent="0.2">
      <c r="A403" s="24"/>
      <c r="B403" s="13"/>
      <c r="C403" s="13">
        <v>22</v>
      </c>
      <c r="D403" s="14"/>
      <c r="E403" s="15"/>
      <c r="F403" s="15"/>
      <c r="G403" s="15"/>
      <c r="H403" s="15"/>
      <c r="I403" s="15"/>
      <c r="J403" s="16">
        <f t="shared" si="14"/>
        <v>0</v>
      </c>
      <c r="L403" s="14"/>
      <c r="M403" s="15"/>
      <c r="N403" s="15"/>
      <c r="O403" s="15"/>
      <c r="P403" s="15"/>
      <c r="Q403" s="15"/>
      <c r="R403" s="16">
        <f t="shared" si="15"/>
        <v>0</v>
      </c>
      <c r="S403" s="20"/>
      <c r="T403" s="21" t="e">
        <f>bdrate($D403:$D406,E403:E406,$L403:$L406,M403:M406)</f>
        <v>#VALUE!</v>
      </c>
      <c r="U403" s="22" t="e">
        <f>bdrate($D403:$D406,F403:F406,$L403:$L406,N403:N406)</f>
        <v>#VALUE!</v>
      </c>
      <c r="V403" s="22" t="e">
        <f>bdrate($D403:$D406,G403:G406,$L403:$L406,O403:O406)</f>
        <v>#VALUE!</v>
      </c>
      <c r="W403" s="44" t="e">
        <f>bdrateOld($D403:$D406,E403:E406,$L403:$L406,M403:M406)</f>
        <v>#VALUE!</v>
      </c>
      <c r="X403" s="45" t="e">
        <f>bdrateOld($D403:$D406,F403:F406,$L403:$L406,N403:N406)</f>
        <v>#VALUE!</v>
      </c>
      <c r="Y403" s="46" t="e">
        <f>bdrateOld($D403:$D406,G403:G406,$L403:$L406,O403:O406)</f>
        <v>#VALUE!</v>
      </c>
    </row>
    <row r="404" spans="1:25" x14ac:dyDescent="0.2">
      <c r="A404" s="24"/>
      <c r="B404" s="24"/>
      <c r="C404" s="24">
        <v>27</v>
      </c>
      <c r="D404" s="25"/>
      <c r="E404" s="26"/>
      <c r="F404" s="26"/>
      <c r="G404" s="26"/>
      <c r="H404" s="26"/>
      <c r="I404" s="26"/>
      <c r="J404" s="27">
        <f t="shared" si="14"/>
        <v>0</v>
      </c>
      <c r="L404" s="25"/>
      <c r="M404" s="26"/>
      <c r="N404" s="26"/>
      <c r="O404" s="26"/>
      <c r="P404" s="26"/>
      <c r="Q404" s="26"/>
      <c r="R404" s="27">
        <f t="shared" si="15"/>
        <v>0</v>
      </c>
      <c r="S404" s="20"/>
      <c r="T404" s="31"/>
      <c r="U404" s="32"/>
      <c r="V404" s="32"/>
      <c r="W404" s="31"/>
      <c r="X404" s="32"/>
      <c r="Y404" s="33"/>
    </row>
    <row r="405" spans="1:25" x14ac:dyDescent="0.2">
      <c r="A405" s="24"/>
      <c r="B405" s="24"/>
      <c r="C405" s="24">
        <v>32</v>
      </c>
      <c r="D405" s="25"/>
      <c r="E405" s="26"/>
      <c r="F405" s="26"/>
      <c r="G405" s="26"/>
      <c r="H405" s="26"/>
      <c r="I405" s="26"/>
      <c r="J405" s="27">
        <f t="shared" si="14"/>
        <v>0</v>
      </c>
      <c r="L405" s="25"/>
      <c r="M405" s="26"/>
      <c r="N405" s="26"/>
      <c r="O405" s="26"/>
      <c r="P405" s="26"/>
      <c r="Q405" s="26"/>
      <c r="R405" s="27">
        <f t="shared" si="15"/>
        <v>0</v>
      </c>
      <c r="S405" s="20"/>
      <c r="T405" s="31"/>
      <c r="U405" s="32"/>
      <c r="V405" s="32"/>
      <c r="W405" s="31"/>
      <c r="X405" s="32"/>
      <c r="Y405" s="33"/>
    </row>
    <row r="406" spans="1:25" ht="12.75" thickBot="1" x14ac:dyDescent="0.25">
      <c r="A406" s="24"/>
      <c r="B406" s="34"/>
      <c r="C406" s="34">
        <v>37</v>
      </c>
      <c r="D406" s="35"/>
      <c r="E406" s="36"/>
      <c r="F406" s="36"/>
      <c r="G406" s="36"/>
      <c r="H406" s="36"/>
      <c r="I406" s="36"/>
      <c r="J406" s="37">
        <f t="shared" si="14"/>
        <v>0</v>
      </c>
      <c r="L406" s="35"/>
      <c r="M406" s="36"/>
      <c r="N406" s="36"/>
      <c r="O406" s="36"/>
      <c r="P406" s="36"/>
      <c r="Q406" s="36"/>
      <c r="R406" s="37">
        <f t="shared" si="15"/>
        <v>0</v>
      </c>
      <c r="S406" s="20"/>
      <c r="T406" s="41"/>
      <c r="U406" s="42"/>
      <c r="V406" s="42"/>
      <c r="W406" s="41"/>
      <c r="X406" s="42"/>
      <c r="Y406" s="43"/>
    </row>
    <row r="407" spans="1:25" x14ac:dyDescent="0.2">
      <c r="A407" s="24"/>
      <c r="B407" s="13"/>
      <c r="C407" s="13">
        <v>22</v>
      </c>
      <c r="D407" s="14"/>
      <c r="E407" s="15"/>
      <c r="F407" s="15"/>
      <c r="G407" s="15"/>
      <c r="H407" s="15"/>
      <c r="I407" s="15"/>
      <c r="J407" s="16">
        <f t="shared" si="14"/>
        <v>0</v>
      </c>
      <c r="L407" s="14"/>
      <c r="M407" s="15"/>
      <c r="N407" s="15"/>
      <c r="O407" s="15"/>
      <c r="P407" s="15"/>
      <c r="Q407" s="15"/>
      <c r="R407" s="16">
        <f t="shared" si="15"/>
        <v>0</v>
      </c>
      <c r="S407" s="20"/>
      <c r="T407" s="21" t="e">
        <f>bdrate($D407:$D410,E407:E410,$L407:$L410,M407:M410)</f>
        <v>#VALUE!</v>
      </c>
      <c r="U407" s="22" t="e">
        <f>bdrate($D407:$D410,F407:F410,$L407:$L410,N407:N410)</f>
        <v>#VALUE!</v>
      </c>
      <c r="V407" s="22" t="e">
        <f>bdrate($D407:$D410,G407:G410,$L407:$L410,O407:O410)</f>
        <v>#VALUE!</v>
      </c>
      <c r="W407" s="44" t="e">
        <f>bdrateOld($D407:$D410,E407:E410,$L407:$L410,M407:M410)</f>
        <v>#VALUE!</v>
      </c>
      <c r="X407" s="45" t="e">
        <f>bdrateOld($D407:$D410,F407:F410,$L407:$L410,N407:N410)</f>
        <v>#VALUE!</v>
      </c>
      <c r="Y407" s="46" t="e">
        <f>bdrateOld($D407:$D410,G407:G410,$L407:$L410,O407:O410)</f>
        <v>#VALUE!</v>
      </c>
    </row>
    <row r="408" spans="1:25" x14ac:dyDescent="0.2">
      <c r="A408" s="24"/>
      <c r="B408" s="24"/>
      <c r="C408" s="24">
        <v>27</v>
      </c>
      <c r="D408" s="25"/>
      <c r="E408" s="26"/>
      <c r="F408" s="26"/>
      <c r="G408" s="26"/>
      <c r="H408" s="26"/>
      <c r="I408" s="26"/>
      <c r="J408" s="27">
        <f t="shared" si="14"/>
        <v>0</v>
      </c>
      <c r="L408" s="25"/>
      <c r="M408" s="26"/>
      <c r="N408" s="26"/>
      <c r="O408" s="26"/>
      <c r="P408" s="26"/>
      <c r="Q408" s="26"/>
      <c r="R408" s="27">
        <f t="shared" si="15"/>
        <v>0</v>
      </c>
      <c r="S408" s="20"/>
      <c r="T408" s="31"/>
      <c r="U408" s="32"/>
      <c r="V408" s="32"/>
      <c r="W408" s="31"/>
      <c r="X408" s="32"/>
      <c r="Y408" s="33"/>
    </row>
    <row r="409" spans="1:25" x14ac:dyDescent="0.2">
      <c r="A409" s="24"/>
      <c r="B409" s="24"/>
      <c r="C409" s="24">
        <v>32</v>
      </c>
      <c r="D409" s="25"/>
      <c r="E409" s="26"/>
      <c r="F409" s="26"/>
      <c r="G409" s="26"/>
      <c r="H409" s="26"/>
      <c r="I409" s="26"/>
      <c r="J409" s="27">
        <f t="shared" si="14"/>
        <v>0</v>
      </c>
      <c r="L409" s="25"/>
      <c r="M409" s="26"/>
      <c r="N409" s="26"/>
      <c r="O409" s="26"/>
      <c r="P409" s="26"/>
      <c r="Q409" s="26"/>
      <c r="R409" s="27">
        <f t="shared" si="15"/>
        <v>0</v>
      </c>
      <c r="S409" s="20"/>
      <c r="T409" s="31"/>
      <c r="U409" s="32"/>
      <c r="V409" s="32"/>
      <c r="W409" s="31"/>
      <c r="X409" s="32"/>
      <c r="Y409" s="33"/>
    </row>
    <row r="410" spans="1:25" ht="12.75" thickBot="1" x14ac:dyDescent="0.25">
      <c r="A410" s="24"/>
      <c r="B410" s="34"/>
      <c r="C410" s="34">
        <v>37</v>
      </c>
      <c r="D410" s="35"/>
      <c r="E410" s="36"/>
      <c r="F410" s="36"/>
      <c r="G410" s="36"/>
      <c r="H410" s="36"/>
      <c r="I410" s="36"/>
      <c r="J410" s="37">
        <f t="shared" si="14"/>
        <v>0</v>
      </c>
      <c r="L410" s="35"/>
      <c r="M410" s="36"/>
      <c r="N410" s="36"/>
      <c r="O410" s="36"/>
      <c r="P410" s="36"/>
      <c r="Q410" s="36"/>
      <c r="R410" s="37">
        <f t="shared" si="15"/>
        <v>0</v>
      </c>
      <c r="S410" s="20"/>
      <c r="T410" s="41"/>
      <c r="U410" s="42"/>
      <c r="V410" s="42"/>
      <c r="W410" s="41"/>
      <c r="X410" s="42"/>
      <c r="Y410" s="43"/>
    </row>
    <row r="411" spans="1:25" x14ac:dyDescent="0.2">
      <c r="A411" s="24"/>
      <c r="B411" s="13"/>
      <c r="C411" s="13">
        <v>22</v>
      </c>
      <c r="D411" s="14"/>
      <c r="E411" s="15"/>
      <c r="F411" s="15"/>
      <c r="G411" s="15"/>
      <c r="H411" s="15"/>
      <c r="I411" s="15"/>
      <c r="J411" s="16">
        <f t="shared" si="14"/>
        <v>0</v>
      </c>
      <c r="L411" s="14"/>
      <c r="M411" s="15"/>
      <c r="N411" s="15"/>
      <c r="O411" s="15"/>
      <c r="P411" s="15"/>
      <c r="Q411" s="15"/>
      <c r="R411" s="16">
        <f t="shared" si="15"/>
        <v>0</v>
      </c>
      <c r="S411" s="20"/>
      <c r="T411" s="21" t="e">
        <f>bdrate($D411:$D414,E411:E414,$L411:$L414,M411:M414)</f>
        <v>#VALUE!</v>
      </c>
      <c r="U411" s="22" t="e">
        <f>bdrate($D411:$D414,F411:F414,$L411:$L414,N411:N414)</f>
        <v>#VALUE!</v>
      </c>
      <c r="V411" s="22" t="e">
        <f>bdrate($D411:$D414,G411:G414,$L411:$L414,O411:O414)</f>
        <v>#VALUE!</v>
      </c>
      <c r="W411" s="44" t="e">
        <f>bdrateOld($D411:$D414,E411:E414,$L411:$L414,M411:M414)</f>
        <v>#VALUE!</v>
      </c>
      <c r="X411" s="45" t="e">
        <f>bdrateOld($D411:$D414,F411:F414,$L411:$L414,N411:N414)</f>
        <v>#VALUE!</v>
      </c>
      <c r="Y411" s="46" t="e">
        <f>bdrateOld($D411:$D414,G411:G414,$L411:$L414,O411:O414)</f>
        <v>#VALUE!</v>
      </c>
    </row>
    <row r="412" spans="1:25" x14ac:dyDescent="0.2">
      <c r="A412" s="24"/>
      <c r="B412" s="24"/>
      <c r="C412" s="24">
        <v>27</v>
      </c>
      <c r="D412" s="25"/>
      <c r="E412" s="26"/>
      <c r="F412" s="26"/>
      <c r="G412" s="26"/>
      <c r="H412" s="26"/>
      <c r="I412" s="26"/>
      <c r="J412" s="27">
        <f t="shared" si="14"/>
        <v>0</v>
      </c>
      <c r="L412" s="25"/>
      <c r="M412" s="26"/>
      <c r="N412" s="26"/>
      <c r="O412" s="26"/>
      <c r="P412" s="26"/>
      <c r="Q412" s="26"/>
      <c r="R412" s="27">
        <f t="shared" si="15"/>
        <v>0</v>
      </c>
      <c r="S412" s="20"/>
      <c r="T412" s="31"/>
      <c r="U412" s="32"/>
      <c r="V412" s="32"/>
      <c r="W412" s="31"/>
      <c r="X412" s="32"/>
      <c r="Y412" s="33"/>
    </row>
    <row r="413" spans="1:25" x14ac:dyDescent="0.2">
      <c r="A413" s="24"/>
      <c r="B413" s="24"/>
      <c r="C413" s="24">
        <v>32</v>
      </c>
      <c r="D413" s="25"/>
      <c r="E413" s="26"/>
      <c r="F413" s="26"/>
      <c r="G413" s="26"/>
      <c r="H413" s="26"/>
      <c r="I413" s="26"/>
      <c r="J413" s="27">
        <f t="shared" si="14"/>
        <v>0</v>
      </c>
      <c r="L413" s="25"/>
      <c r="M413" s="26"/>
      <c r="N413" s="26"/>
      <c r="O413" s="26"/>
      <c r="P413" s="26"/>
      <c r="Q413" s="26"/>
      <c r="R413" s="27">
        <f t="shared" si="15"/>
        <v>0</v>
      </c>
      <c r="S413" s="20"/>
      <c r="T413" s="31"/>
      <c r="U413" s="32"/>
      <c r="V413" s="32"/>
      <c r="W413" s="31"/>
      <c r="X413" s="32"/>
      <c r="Y413" s="33"/>
    </row>
    <row r="414" spans="1:25" ht="12.75" thickBot="1" x14ac:dyDescent="0.25">
      <c r="A414" s="24"/>
      <c r="B414" s="34"/>
      <c r="C414" s="34">
        <v>37</v>
      </c>
      <c r="D414" s="35"/>
      <c r="E414" s="36"/>
      <c r="F414" s="36"/>
      <c r="G414" s="36"/>
      <c r="H414" s="36"/>
      <c r="I414" s="36"/>
      <c r="J414" s="37">
        <f t="shared" si="14"/>
        <v>0</v>
      </c>
      <c r="L414" s="35"/>
      <c r="M414" s="36"/>
      <c r="N414" s="36"/>
      <c r="O414" s="36"/>
      <c r="P414" s="36"/>
      <c r="Q414" s="36"/>
      <c r="R414" s="37">
        <f t="shared" si="15"/>
        <v>0</v>
      </c>
      <c r="S414" s="20"/>
      <c r="T414" s="41"/>
      <c r="U414" s="42"/>
      <c r="V414" s="42"/>
      <c r="W414" s="41"/>
      <c r="X414" s="42"/>
      <c r="Y414" s="43"/>
    </row>
    <row r="415" spans="1:25" x14ac:dyDescent="0.2">
      <c r="A415" s="24"/>
      <c r="B415" s="13"/>
      <c r="C415" s="13">
        <v>22</v>
      </c>
      <c r="D415" s="14"/>
      <c r="E415" s="15"/>
      <c r="F415" s="15"/>
      <c r="G415" s="15"/>
      <c r="H415" s="15"/>
      <c r="I415" s="15"/>
      <c r="J415" s="16">
        <f t="shared" si="14"/>
        <v>0</v>
      </c>
      <c r="L415" s="14"/>
      <c r="M415" s="15"/>
      <c r="N415" s="15"/>
      <c r="O415" s="15"/>
      <c r="P415" s="15"/>
      <c r="Q415" s="15"/>
      <c r="R415" s="16">
        <f t="shared" si="15"/>
        <v>0</v>
      </c>
      <c r="S415" s="20"/>
      <c r="T415" s="21" t="e">
        <f>bdrate($D415:$D418,E415:E418,$L415:$L418,M415:M418)</f>
        <v>#VALUE!</v>
      </c>
      <c r="U415" s="22" t="e">
        <f>bdrate($D415:$D418,F415:F418,$L415:$L418,N415:N418)</f>
        <v>#VALUE!</v>
      </c>
      <c r="V415" s="22" t="e">
        <f>bdrate($D415:$D418,G415:G418,$L415:$L418,O415:O418)</f>
        <v>#VALUE!</v>
      </c>
      <c r="W415" s="44" t="e">
        <f>bdrateOld($D415:$D418,E415:E418,$L415:$L418,M415:M418)</f>
        <v>#VALUE!</v>
      </c>
      <c r="X415" s="45" t="e">
        <f>bdrateOld($D415:$D418,F415:F418,$L415:$L418,N415:N418)</f>
        <v>#VALUE!</v>
      </c>
      <c r="Y415" s="46" t="e">
        <f>bdrateOld($D415:$D418,G415:G418,$L415:$L418,O415:O418)</f>
        <v>#VALUE!</v>
      </c>
    </row>
    <row r="416" spans="1:25" x14ac:dyDescent="0.2">
      <c r="A416" s="24"/>
      <c r="B416" s="24"/>
      <c r="C416" s="24">
        <v>27</v>
      </c>
      <c r="D416" s="25"/>
      <c r="E416" s="26"/>
      <c r="F416" s="26"/>
      <c r="G416" s="26"/>
      <c r="H416" s="26"/>
      <c r="I416" s="26"/>
      <c r="J416" s="27">
        <f t="shared" si="14"/>
        <v>0</v>
      </c>
      <c r="L416" s="25"/>
      <c r="M416" s="26"/>
      <c r="N416" s="26"/>
      <c r="O416" s="26"/>
      <c r="P416" s="26"/>
      <c r="Q416" s="26"/>
      <c r="R416" s="27">
        <f t="shared" si="15"/>
        <v>0</v>
      </c>
      <c r="S416" s="20"/>
      <c r="T416" s="31"/>
      <c r="U416" s="32"/>
      <c r="V416" s="32"/>
      <c r="W416" s="31"/>
      <c r="X416" s="32"/>
      <c r="Y416" s="33"/>
    </row>
    <row r="417" spans="1:25" x14ac:dyDescent="0.2">
      <c r="A417" s="24"/>
      <c r="B417" s="24"/>
      <c r="C417" s="24">
        <v>32</v>
      </c>
      <c r="D417" s="25"/>
      <c r="E417" s="26"/>
      <c r="F417" s="26"/>
      <c r="G417" s="26"/>
      <c r="H417" s="26"/>
      <c r="I417" s="26"/>
      <c r="J417" s="27">
        <f t="shared" si="14"/>
        <v>0</v>
      </c>
      <c r="L417" s="25"/>
      <c r="M417" s="26"/>
      <c r="N417" s="26"/>
      <c r="O417" s="26"/>
      <c r="P417" s="26"/>
      <c r="Q417" s="26"/>
      <c r="R417" s="27">
        <f t="shared" si="15"/>
        <v>0</v>
      </c>
      <c r="S417" s="20"/>
      <c r="T417" s="31"/>
      <c r="U417" s="32"/>
      <c r="V417" s="32"/>
      <c r="W417" s="31"/>
      <c r="X417" s="32"/>
      <c r="Y417" s="33"/>
    </row>
    <row r="418" spans="1:25" ht="12.75" thickBot="1" x14ac:dyDescent="0.25">
      <c r="A418" s="34"/>
      <c r="B418" s="34"/>
      <c r="C418" s="34">
        <v>37</v>
      </c>
      <c r="D418" s="35"/>
      <c r="E418" s="36"/>
      <c r="F418" s="36"/>
      <c r="G418" s="36"/>
      <c r="H418" s="36"/>
      <c r="I418" s="36"/>
      <c r="J418" s="37">
        <f t="shared" si="14"/>
        <v>0</v>
      </c>
      <c r="L418" s="35"/>
      <c r="M418" s="36"/>
      <c r="N418" s="36"/>
      <c r="O418" s="36"/>
      <c r="P418" s="36"/>
      <c r="Q418" s="36"/>
      <c r="R418" s="37">
        <f t="shared" si="15"/>
        <v>0</v>
      </c>
      <c r="S418" s="20"/>
      <c r="T418" s="41"/>
      <c r="U418" s="42"/>
      <c r="V418" s="42"/>
      <c r="W418" s="41"/>
      <c r="X418" s="42"/>
      <c r="Y418" s="43"/>
    </row>
    <row r="419" spans="1:25" x14ac:dyDescent="0.2">
      <c r="A419" s="13" t="s">
        <v>125</v>
      </c>
      <c r="B419" s="13" t="s">
        <v>109</v>
      </c>
      <c r="C419" s="13">
        <v>22</v>
      </c>
      <c r="D419" s="17">
        <v>715.48800000000006</v>
      </c>
      <c r="E419" s="18">
        <v>51.074809999999999</v>
      </c>
      <c r="F419" s="18">
        <v>46.249591000000002</v>
      </c>
      <c r="G419" s="18">
        <v>46.366464000000001</v>
      </c>
      <c r="H419" s="18">
        <v>47.398502000000001</v>
      </c>
      <c r="I419" s="18"/>
      <c r="J419" s="16">
        <f>H419/3600</f>
        <v>1.3166250555555556E-2</v>
      </c>
      <c r="L419" s="17"/>
      <c r="M419" s="18"/>
      <c r="N419" s="18"/>
      <c r="O419" s="18"/>
      <c r="P419" s="18"/>
      <c r="Q419" s="18"/>
      <c r="R419" s="19">
        <f>P419/3600</f>
        <v>0</v>
      </c>
      <c r="S419" s="20"/>
      <c r="T419" s="21" t="e">
        <f>bdrate($D419:$D422,E419:E422,$L419:$L422,M419:M422)</f>
        <v>#VALUE!</v>
      </c>
      <c r="U419" s="22" t="e">
        <f>bdrate($D419:$D422,F419:F422,$L419:$L422,N419:N422)</f>
        <v>#VALUE!</v>
      </c>
      <c r="V419" s="23" t="e">
        <f>bdrate($D419:$D422,G419:G422,$L419:$L422,O419:O422)</f>
        <v>#VALUE!</v>
      </c>
      <c r="W419" s="21" t="e">
        <f>bdrateOld($D419:$D422,E419:E422,$L419:$L422,M419:M422)</f>
        <v>#VALUE!</v>
      </c>
      <c r="X419" s="22" t="e">
        <f>bdrateOld($D419:$D422,F419:F422,$L419:$L422,N419:N422)</f>
        <v>#VALUE!</v>
      </c>
      <c r="Y419" s="23" t="e">
        <f>bdrateOld($D419:$D422,G419:G422,$L419:$L422,O419:O422)</f>
        <v>#VALUE!</v>
      </c>
    </row>
    <row r="420" spans="1:25" x14ac:dyDescent="0.2">
      <c r="A420" s="24"/>
      <c r="B420" s="24" t="s">
        <v>110</v>
      </c>
      <c r="C420" s="24">
        <v>27</v>
      </c>
      <c r="D420" s="28">
        <v>211.70400000000001</v>
      </c>
      <c r="E420" s="29">
        <v>50.20093</v>
      </c>
      <c r="F420" s="29">
        <v>45.060175999999998</v>
      </c>
      <c r="G420" s="29">
        <v>45.214112999999998</v>
      </c>
      <c r="H420" s="29">
        <v>46.268608</v>
      </c>
      <c r="I420" s="29"/>
      <c r="J420" s="27">
        <f t="shared" ref="J420:J470" si="16">H420/3600</f>
        <v>1.2852391111111111E-2</v>
      </c>
      <c r="L420" s="28"/>
      <c r="M420" s="29"/>
      <c r="N420" s="29"/>
      <c r="O420" s="29"/>
      <c r="P420" s="29"/>
      <c r="Q420" s="29"/>
      <c r="R420" s="30">
        <f t="shared" ref="R420:R470" si="17">P420/3600</f>
        <v>0</v>
      </c>
      <c r="S420" s="20"/>
      <c r="T420" s="31"/>
      <c r="U420" s="32"/>
      <c r="V420" s="33"/>
      <c r="W420" s="31"/>
      <c r="X420" s="32"/>
      <c r="Y420" s="33"/>
    </row>
    <row r="421" spans="1:25" x14ac:dyDescent="0.2">
      <c r="A421" s="24"/>
      <c r="B421" s="24"/>
      <c r="C421" s="24">
        <v>32</v>
      </c>
      <c r="D421" s="28">
        <v>66.16</v>
      </c>
      <c r="E421" s="29">
        <v>49.127049999999997</v>
      </c>
      <c r="F421" s="29">
        <v>44.162864999999996</v>
      </c>
      <c r="G421" s="29">
        <v>44.368780000000001</v>
      </c>
      <c r="H421" s="29">
        <v>45.368963999999998</v>
      </c>
      <c r="I421" s="29"/>
      <c r="J421" s="27">
        <f t="shared" si="16"/>
        <v>1.2602489999999999E-2</v>
      </c>
      <c r="L421" s="28"/>
      <c r="M421" s="29"/>
      <c r="N421" s="29"/>
      <c r="O421" s="29"/>
      <c r="P421" s="29"/>
      <c r="Q421" s="29"/>
      <c r="R421" s="30">
        <f t="shared" si="17"/>
        <v>0</v>
      </c>
      <c r="S421" s="20"/>
      <c r="T421" s="31"/>
      <c r="U421" s="32"/>
      <c r="V421" s="33"/>
      <c r="W421" s="31"/>
      <c r="X421" s="32"/>
      <c r="Y421" s="33"/>
    </row>
    <row r="422" spans="1:25" ht="12.75" thickBot="1" x14ac:dyDescent="0.25">
      <c r="A422" s="24"/>
      <c r="B422" s="34"/>
      <c r="C422" s="34">
        <v>37</v>
      </c>
      <c r="D422" s="38">
        <v>26.864000000000001</v>
      </c>
      <c r="E422" s="39">
        <v>47.561250999999999</v>
      </c>
      <c r="F422" s="39">
        <v>43.419733000000001</v>
      </c>
      <c r="G422" s="39">
        <v>43.612504999999999</v>
      </c>
      <c r="H422" s="39">
        <v>44.495212000000002</v>
      </c>
      <c r="I422" s="39"/>
      <c r="J422" s="37">
        <f t="shared" si="16"/>
        <v>1.2359781111111112E-2</v>
      </c>
      <c r="L422" s="38"/>
      <c r="M422" s="39"/>
      <c r="N422" s="39"/>
      <c r="O422" s="39"/>
      <c r="P422" s="39"/>
      <c r="Q422" s="39"/>
      <c r="R422" s="40">
        <f t="shared" si="17"/>
        <v>0</v>
      </c>
      <c r="S422" s="20"/>
      <c r="T422" s="41"/>
      <c r="U422" s="42"/>
      <c r="V422" s="43"/>
      <c r="W422" s="41"/>
      <c r="X422" s="42"/>
      <c r="Y422" s="43"/>
    </row>
    <row r="423" spans="1:25" x14ac:dyDescent="0.2">
      <c r="A423" s="24"/>
      <c r="B423" s="13" t="s">
        <v>111</v>
      </c>
      <c r="C423" s="13">
        <v>22</v>
      </c>
      <c r="D423" s="17">
        <v>6154.6639999999998</v>
      </c>
      <c r="E423" s="18">
        <v>45.794902</v>
      </c>
      <c r="F423" s="18">
        <v>43.772483999999999</v>
      </c>
      <c r="G423" s="18">
        <v>43.875991999999997</v>
      </c>
      <c r="H423" s="18">
        <v>44.387025000000001</v>
      </c>
      <c r="I423" s="18"/>
      <c r="J423" s="16">
        <f t="shared" si="16"/>
        <v>1.2329729166666668E-2</v>
      </c>
      <c r="L423" s="17"/>
      <c r="M423" s="18"/>
      <c r="N423" s="18"/>
      <c r="O423" s="18"/>
      <c r="P423" s="18"/>
      <c r="Q423" s="18"/>
      <c r="R423" s="19">
        <f t="shared" si="17"/>
        <v>0</v>
      </c>
      <c r="S423" s="20"/>
      <c r="T423" s="21" t="e">
        <f>bdrate($D423:$D426,E423:E426,$L423:$L426,M423:M426)</f>
        <v>#VALUE!</v>
      </c>
      <c r="U423" s="22" t="e">
        <f>bdrate($D423:$D426,F423:F426,$L423:$L426,N423:N426)</f>
        <v>#VALUE!</v>
      </c>
      <c r="V423" s="22" t="e">
        <f>bdrate($D423:$D426,G423:G426,$L423:$L426,O423:O426)</f>
        <v>#VALUE!</v>
      </c>
      <c r="W423" s="44" t="e">
        <f>bdrateOld($D423:$D426,E423:E426,$L423:$L426,M423:M426)</f>
        <v>#VALUE!</v>
      </c>
      <c r="X423" s="45" t="e">
        <f>bdrateOld($D423:$D426,F423:F426,$L423:$L426,N423:N426)</f>
        <v>#VALUE!</v>
      </c>
      <c r="Y423" s="46" t="e">
        <f>bdrateOld($D423:$D426,G423:G426,$L423:$L426,O423:O426)</f>
        <v>#VALUE!</v>
      </c>
    </row>
    <row r="424" spans="1:25" x14ac:dyDescent="0.2">
      <c r="A424" s="24"/>
      <c r="B424" s="24"/>
      <c r="C424" s="24">
        <v>27</v>
      </c>
      <c r="D424" s="28">
        <v>2833.0720000000001</v>
      </c>
      <c r="E424" s="29">
        <v>43.443103999999998</v>
      </c>
      <c r="F424" s="29">
        <v>40.144770999999999</v>
      </c>
      <c r="G424" s="29">
        <v>40.405934000000002</v>
      </c>
      <c r="H424" s="29">
        <v>41.096620000000001</v>
      </c>
      <c r="I424" s="29"/>
      <c r="J424" s="27">
        <f t="shared" si="16"/>
        <v>1.1415727777777778E-2</v>
      </c>
      <c r="L424" s="28"/>
      <c r="M424" s="29"/>
      <c r="N424" s="29"/>
      <c r="O424" s="29"/>
      <c r="P424" s="29"/>
      <c r="Q424" s="29"/>
      <c r="R424" s="30">
        <f t="shared" si="17"/>
        <v>0</v>
      </c>
      <c r="S424" s="20"/>
      <c r="T424" s="31"/>
      <c r="U424" s="32"/>
      <c r="V424" s="32"/>
      <c r="W424" s="31"/>
      <c r="X424" s="32"/>
      <c r="Y424" s="33"/>
    </row>
    <row r="425" spans="1:25" x14ac:dyDescent="0.2">
      <c r="A425" s="24"/>
      <c r="B425" s="24"/>
      <c r="C425" s="24">
        <v>32</v>
      </c>
      <c r="D425" s="28">
        <v>1287.0640000000001</v>
      </c>
      <c r="E425" s="29">
        <v>41.126474000000002</v>
      </c>
      <c r="F425" s="29">
        <v>37.585470999999998</v>
      </c>
      <c r="G425" s="29">
        <v>38.087380000000003</v>
      </c>
      <c r="H425" s="29">
        <v>38.676893</v>
      </c>
      <c r="I425" s="29"/>
      <c r="J425" s="27">
        <f t="shared" si="16"/>
        <v>1.0743581388888888E-2</v>
      </c>
      <c r="L425" s="28"/>
      <c r="M425" s="29"/>
      <c r="N425" s="29"/>
      <c r="O425" s="29"/>
      <c r="P425" s="29"/>
      <c r="Q425" s="29"/>
      <c r="R425" s="30">
        <f t="shared" si="17"/>
        <v>0</v>
      </c>
      <c r="S425" s="20"/>
      <c r="T425" s="31"/>
      <c r="U425" s="47"/>
      <c r="V425" s="32"/>
      <c r="W425" s="31"/>
      <c r="X425" s="32"/>
      <c r="Y425" s="33"/>
    </row>
    <row r="426" spans="1:25" ht="12.75" thickBot="1" x14ac:dyDescent="0.25">
      <c r="A426" s="24"/>
      <c r="B426" s="34"/>
      <c r="C426" s="34">
        <v>37</v>
      </c>
      <c r="D426" s="38">
        <v>673.65599999999995</v>
      </c>
      <c r="E426" s="39">
        <v>38.767052</v>
      </c>
      <c r="F426" s="39">
        <v>35.444107000000002</v>
      </c>
      <c r="G426" s="39">
        <v>36.275050999999998</v>
      </c>
      <c r="H426" s="39">
        <v>36.614823999999999</v>
      </c>
      <c r="I426" s="39"/>
      <c r="J426" s="37">
        <f t="shared" si="16"/>
        <v>1.0170784444444443E-2</v>
      </c>
      <c r="L426" s="38"/>
      <c r="M426" s="39"/>
      <c r="N426" s="39"/>
      <c r="O426" s="39"/>
      <c r="P426" s="39"/>
      <c r="Q426" s="39"/>
      <c r="R426" s="40">
        <f t="shared" si="17"/>
        <v>0</v>
      </c>
      <c r="S426" s="20"/>
      <c r="T426" s="41"/>
      <c r="U426" s="42"/>
      <c r="V426" s="42"/>
      <c r="W426" s="41"/>
      <c r="X426" s="42"/>
      <c r="Y426" s="43"/>
    </row>
    <row r="427" spans="1:25" x14ac:dyDescent="0.2">
      <c r="A427" s="118"/>
      <c r="B427" s="117" t="s">
        <v>112</v>
      </c>
      <c r="C427" s="117">
        <v>22</v>
      </c>
      <c r="D427" s="17">
        <v>5492.7839999999997</v>
      </c>
      <c r="E427" s="18">
        <v>49.257697</v>
      </c>
      <c r="F427" s="18">
        <v>523.07819400000005</v>
      </c>
      <c r="G427" s="18">
        <v>523.58307600000001</v>
      </c>
      <c r="H427" s="18">
        <v>49.505586000000001</v>
      </c>
      <c r="I427" s="18"/>
      <c r="J427" s="16">
        <f t="shared" si="16"/>
        <v>1.3751551666666667E-2</v>
      </c>
      <c r="L427" s="14">
        <v>3917.3760000000002</v>
      </c>
      <c r="M427" s="15">
        <v>47.823506000000002</v>
      </c>
      <c r="N427" s="15">
        <v>521.49453600000004</v>
      </c>
      <c r="O427" s="15">
        <v>521.97302100000002</v>
      </c>
      <c r="P427" s="15">
        <v>46.725465999999997</v>
      </c>
      <c r="Q427" s="18"/>
      <c r="R427" s="19">
        <f t="shared" si="17"/>
        <v>1.2979296111111111E-2</v>
      </c>
      <c r="S427" s="20"/>
      <c r="T427" s="21">
        <f>bdrate($D427:$D430,E427:E430,$L427:$L430,M427:M430)</f>
        <v>-0.23435379758052377</v>
      </c>
      <c r="U427" s="22">
        <f>bdrate($D427:$D430,F427:F430,$L427:$L430,N427:N430)</f>
        <v>0.15144772383284155</v>
      </c>
      <c r="V427" s="22">
        <f>bdrate($D427:$D430,G427:G430,$L427:$L430,O427:O430)</f>
        <v>0.18258223952829322</v>
      </c>
      <c r="W427" s="44">
        <f>bdrateOld($D427:$D430,E427:E430,$L427:$L430,M427:M430)</f>
        <v>-0.23085102630290655</v>
      </c>
      <c r="X427" s="45">
        <f>bdrateOld($D427:$D430,F427:F430,$L427:$L430,N427:N430)</f>
        <v>0.15063826874550257</v>
      </c>
      <c r="Y427" s="46">
        <f>bdrateOld($D427:$D430,G427:G430,$L427:$L430,O427:O430)</f>
        <v>9.5000207130411907E-2</v>
      </c>
    </row>
    <row r="428" spans="1:25" x14ac:dyDescent="0.2">
      <c r="A428" s="118"/>
      <c r="B428" s="118"/>
      <c r="C428" s="118">
        <v>27</v>
      </c>
      <c r="D428" s="28">
        <v>3302.28</v>
      </c>
      <c r="E428" s="29">
        <v>46.078688999999997</v>
      </c>
      <c r="F428" s="29">
        <v>521.18451500000003</v>
      </c>
      <c r="G428" s="29">
        <v>521.711815</v>
      </c>
      <c r="H428" s="29">
        <v>45.932175000000001</v>
      </c>
      <c r="I428" s="29"/>
      <c r="J428" s="27">
        <f t="shared" si="16"/>
        <v>1.2758937499999999E-2</v>
      </c>
      <c r="L428" s="25">
        <v>1901.96</v>
      </c>
      <c r="M428" s="26">
        <v>44.445188000000002</v>
      </c>
      <c r="N428" s="26">
        <v>519.04200100000003</v>
      </c>
      <c r="O428" s="26">
        <v>519.68475599999999</v>
      </c>
      <c r="P428" s="26">
        <v>42.282288999999999</v>
      </c>
      <c r="Q428" s="29"/>
      <c r="R428" s="30">
        <f t="shared" si="17"/>
        <v>1.1745080277777778E-2</v>
      </c>
      <c r="S428" s="20"/>
      <c r="T428" s="31"/>
      <c r="U428" s="32"/>
      <c r="V428" s="32"/>
      <c r="W428" s="31"/>
      <c r="X428" s="32"/>
      <c r="Y428" s="33"/>
    </row>
    <row r="429" spans="1:25" x14ac:dyDescent="0.2">
      <c r="A429" s="118"/>
      <c r="B429" s="118" t="s">
        <v>126</v>
      </c>
      <c r="C429" s="118">
        <v>32</v>
      </c>
      <c r="D429" s="28">
        <v>1772.4559999999999</v>
      </c>
      <c r="E429" s="29">
        <v>43.150292999999998</v>
      </c>
      <c r="F429" s="29">
        <v>519.24159999999995</v>
      </c>
      <c r="G429" s="29">
        <v>519.92533100000003</v>
      </c>
      <c r="H429" s="29">
        <v>42.433622999999997</v>
      </c>
      <c r="I429" s="29"/>
      <c r="J429" s="27">
        <f t="shared" si="16"/>
        <v>1.1787117499999999E-2</v>
      </c>
      <c r="L429" s="25">
        <v>744.43200000000002</v>
      </c>
      <c r="M429" s="26">
        <v>41.545271999999997</v>
      </c>
      <c r="N429" s="26">
        <v>516.74931200000003</v>
      </c>
      <c r="O429" s="26">
        <v>517.72729400000003</v>
      </c>
      <c r="P429" s="26">
        <v>38.271183000000001</v>
      </c>
      <c r="Q429" s="29"/>
      <c r="R429" s="30">
        <f t="shared" si="17"/>
        <v>1.0630884166666667E-2</v>
      </c>
      <c r="S429" s="20"/>
      <c r="T429" s="31"/>
      <c r="U429" s="32"/>
      <c r="V429" s="32"/>
      <c r="W429" s="31"/>
      <c r="X429" s="32"/>
      <c r="Y429" s="33"/>
    </row>
    <row r="430" spans="1:25" ht="12.75" thickBot="1" x14ac:dyDescent="0.25">
      <c r="A430" s="118"/>
      <c r="B430" s="119"/>
      <c r="C430" s="119">
        <v>37</v>
      </c>
      <c r="D430" s="38">
        <v>827.71199999999999</v>
      </c>
      <c r="E430" s="39">
        <v>40.549759000000002</v>
      </c>
      <c r="F430" s="39">
        <v>517.43893500000001</v>
      </c>
      <c r="G430" s="39">
        <v>518.36969399999998</v>
      </c>
      <c r="H430" s="39">
        <v>39.252901999999999</v>
      </c>
      <c r="I430" s="39"/>
      <c r="J430" s="37">
        <f t="shared" si="16"/>
        <v>1.0903583888888889E-2</v>
      </c>
      <c r="L430" s="35">
        <v>292.54399999999998</v>
      </c>
      <c r="M430" s="36">
        <v>38.936836</v>
      </c>
      <c r="N430" s="36">
        <v>515.14855599999999</v>
      </c>
      <c r="O430" s="36">
        <v>516.76291900000001</v>
      </c>
      <c r="P430" s="36">
        <v>35.573531000000003</v>
      </c>
      <c r="Q430" s="39"/>
      <c r="R430" s="40">
        <f t="shared" si="17"/>
        <v>9.8815363888888896E-3</v>
      </c>
      <c r="S430" s="20"/>
      <c r="T430" s="41"/>
      <c r="U430" s="42"/>
      <c r="V430" s="42"/>
      <c r="W430" s="41"/>
      <c r="X430" s="42"/>
      <c r="Y430" s="43"/>
    </row>
    <row r="431" spans="1:25" x14ac:dyDescent="0.2">
      <c r="A431" s="118"/>
      <c r="B431" s="117" t="s">
        <v>113</v>
      </c>
      <c r="C431" s="117">
        <v>22</v>
      </c>
      <c r="D431" s="17">
        <v>5492.7839999999997</v>
      </c>
      <c r="E431" s="18">
        <v>49.257697</v>
      </c>
      <c r="F431" s="18">
        <v>523.07819400000005</v>
      </c>
      <c r="G431" s="18">
        <v>523.58307600000001</v>
      </c>
      <c r="H431" s="18">
        <v>49.505586000000001</v>
      </c>
      <c r="I431" s="18"/>
      <c r="J431" s="16">
        <f t="shared" si="16"/>
        <v>1.3751551666666667E-2</v>
      </c>
      <c r="L431" s="17"/>
      <c r="M431" s="18"/>
      <c r="N431" s="18"/>
      <c r="O431" s="18"/>
      <c r="P431" s="18"/>
      <c r="Q431" s="18"/>
      <c r="R431" s="19">
        <f t="shared" si="17"/>
        <v>0</v>
      </c>
      <c r="S431" s="20"/>
      <c r="T431" s="21" t="e">
        <f>bdrate($D431:$D434,E431:E434,$L431:$L434,M431:M434)</f>
        <v>#VALUE!</v>
      </c>
      <c r="U431" s="22" t="e">
        <f>bdrate($D431:$D434,F431:F434,$L431:$L434,N431:N434)</f>
        <v>#VALUE!</v>
      </c>
      <c r="V431" s="22" t="e">
        <f>bdrate($D431:$D434,G431:G434,$L431:$L434,O431:O434)</f>
        <v>#VALUE!</v>
      </c>
      <c r="W431" s="44" t="e">
        <f>bdrateOld($D431:$D434,E431:E434,$L431:$L434,M431:M434)</f>
        <v>#VALUE!</v>
      </c>
      <c r="X431" s="45" t="e">
        <f>bdrateOld($D431:$D434,F431:F434,$L431:$L434,N431:N434)</f>
        <v>#VALUE!</v>
      </c>
      <c r="Y431" s="46" t="e">
        <f>bdrateOld($D431:$D434,G431:G434,$L431:$L434,O431:O434)</f>
        <v>#VALUE!</v>
      </c>
    </row>
    <row r="432" spans="1:25" x14ac:dyDescent="0.2">
      <c r="A432" s="118"/>
      <c r="B432" s="118"/>
      <c r="C432" s="118">
        <v>27</v>
      </c>
      <c r="D432" s="28">
        <v>3302.28</v>
      </c>
      <c r="E432" s="29">
        <v>46.078688999999997</v>
      </c>
      <c r="F432" s="29">
        <v>521.18451500000003</v>
      </c>
      <c r="G432" s="29">
        <v>521.711815</v>
      </c>
      <c r="H432" s="29">
        <v>45.932175000000001</v>
      </c>
      <c r="I432" s="29"/>
      <c r="J432" s="27">
        <f t="shared" si="16"/>
        <v>1.2758937499999999E-2</v>
      </c>
      <c r="L432" s="28"/>
      <c r="M432" s="29"/>
      <c r="N432" s="29"/>
      <c r="O432" s="29"/>
      <c r="P432" s="29"/>
      <c r="Q432" s="29"/>
      <c r="R432" s="30">
        <f t="shared" si="17"/>
        <v>0</v>
      </c>
      <c r="S432" s="20"/>
      <c r="T432" s="31"/>
      <c r="U432" s="32"/>
      <c r="V432" s="32"/>
      <c r="W432" s="31"/>
      <c r="X432" s="32"/>
      <c r="Y432" s="33"/>
    </row>
    <row r="433" spans="1:25" x14ac:dyDescent="0.2">
      <c r="A433" s="118"/>
      <c r="B433" s="118" t="s">
        <v>126</v>
      </c>
      <c r="C433" s="118">
        <v>32</v>
      </c>
      <c r="D433" s="28">
        <v>1772.4559999999999</v>
      </c>
      <c r="E433" s="29">
        <v>43.150292999999998</v>
      </c>
      <c r="F433" s="29">
        <v>519.24159999999995</v>
      </c>
      <c r="G433" s="29">
        <v>519.92533100000003</v>
      </c>
      <c r="H433" s="29">
        <v>42.433622999999997</v>
      </c>
      <c r="I433" s="29"/>
      <c r="J433" s="27">
        <f t="shared" si="16"/>
        <v>1.1787117499999999E-2</v>
      </c>
      <c r="L433" s="28"/>
      <c r="M433" s="29"/>
      <c r="N433" s="29"/>
      <c r="O433" s="29"/>
      <c r="P433" s="29"/>
      <c r="Q433" s="29"/>
      <c r="R433" s="30">
        <f t="shared" si="17"/>
        <v>0</v>
      </c>
      <c r="S433" s="20"/>
      <c r="T433" s="31"/>
      <c r="U433" s="32"/>
      <c r="V433" s="32"/>
      <c r="W433" s="31"/>
      <c r="X433" s="32"/>
      <c r="Y433" s="33"/>
    </row>
    <row r="434" spans="1:25" ht="12.75" thickBot="1" x14ac:dyDescent="0.25">
      <c r="A434" s="118"/>
      <c r="B434" s="119"/>
      <c r="C434" s="119">
        <v>37</v>
      </c>
      <c r="D434" s="38">
        <v>827.71199999999999</v>
      </c>
      <c r="E434" s="39">
        <v>40.549759000000002</v>
      </c>
      <c r="F434" s="39">
        <v>517.43893500000001</v>
      </c>
      <c r="G434" s="39">
        <v>518.36969399999998</v>
      </c>
      <c r="H434" s="39">
        <v>39.252901999999999</v>
      </c>
      <c r="I434" s="39"/>
      <c r="J434" s="37">
        <f t="shared" si="16"/>
        <v>1.0903583888888889E-2</v>
      </c>
      <c r="L434" s="38"/>
      <c r="M434" s="39"/>
      <c r="N434" s="39"/>
      <c r="O434" s="39"/>
      <c r="P434" s="39"/>
      <c r="Q434" s="39"/>
      <c r="R434" s="40">
        <f t="shared" si="17"/>
        <v>0</v>
      </c>
      <c r="S434" s="20"/>
      <c r="T434" s="41"/>
      <c r="U434" s="42"/>
      <c r="V434" s="42"/>
      <c r="W434" s="41"/>
      <c r="X434" s="42"/>
      <c r="Y434" s="43"/>
    </row>
    <row r="435" spans="1:25" x14ac:dyDescent="0.2">
      <c r="A435" s="24"/>
      <c r="B435" s="13" t="s">
        <v>115</v>
      </c>
      <c r="C435" s="13">
        <v>22</v>
      </c>
      <c r="D435" s="14">
        <v>737.72</v>
      </c>
      <c r="E435" s="15">
        <v>49.840760000000003</v>
      </c>
      <c r="F435" s="15"/>
      <c r="G435" s="15"/>
      <c r="H435" s="15"/>
      <c r="I435" s="15"/>
      <c r="J435" s="16">
        <f t="shared" si="16"/>
        <v>0</v>
      </c>
      <c r="L435" s="14"/>
      <c r="M435" s="15"/>
      <c r="N435" s="15"/>
      <c r="O435" s="15"/>
      <c r="P435" s="15"/>
      <c r="Q435" s="15"/>
      <c r="R435" s="16">
        <f t="shared" si="17"/>
        <v>0</v>
      </c>
      <c r="S435" s="20"/>
      <c r="T435" s="21" t="e">
        <f>bdrate($D435:$D438,E435:E438,$L435:$L438,M435:M438)</f>
        <v>#VALUE!</v>
      </c>
      <c r="U435" s="22" t="e">
        <f>bdrate($D435:$D438,F435:F438,$L435:$L438,N435:N438)</f>
        <v>#VALUE!</v>
      </c>
      <c r="V435" s="22" t="e">
        <f>bdrate($D435:$D438,G435:G438,$L435:$L438,O435:O438)</f>
        <v>#VALUE!</v>
      </c>
      <c r="W435" s="44" t="e">
        <f>bdrateOld($D435:$D438,E435:E438,$L435:$L438,M435:M438)</f>
        <v>#VALUE!</v>
      </c>
      <c r="X435" s="45" t="e">
        <f>bdrateOld($D435:$D438,F435:F438,$L435:$L438,N435:N438)</f>
        <v>#VALUE!</v>
      </c>
      <c r="Y435" s="46" t="e">
        <f>bdrateOld($D435:$D438,G435:G438,$L435:$L438,O435:O438)</f>
        <v>#VALUE!</v>
      </c>
    </row>
    <row r="436" spans="1:25" x14ac:dyDescent="0.2">
      <c r="A436" s="24"/>
      <c r="B436" s="24" t="s">
        <v>114</v>
      </c>
      <c r="C436" s="24">
        <v>27</v>
      </c>
      <c r="D436" s="25">
        <v>447.26400000000001</v>
      </c>
      <c r="E436" s="26">
        <v>46.780611</v>
      </c>
      <c r="F436" s="26"/>
      <c r="G436" s="26"/>
      <c r="H436" s="26"/>
      <c r="I436" s="26"/>
      <c r="J436" s="27">
        <f t="shared" si="16"/>
        <v>0</v>
      </c>
      <c r="L436" s="25"/>
      <c r="M436" s="26"/>
      <c r="N436" s="26"/>
      <c r="O436" s="26"/>
      <c r="P436" s="26"/>
      <c r="Q436" s="26"/>
      <c r="R436" s="27">
        <f t="shared" si="17"/>
        <v>0</v>
      </c>
      <c r="S436" s="20"/>
      <c r="T436" s="31"/>
      <c r="U436" s="32"/>
      <c r="V436" s="32"/>
      <c r="W436" s="31"/>
      <c r="X436" s="32"/>
      <c r="Y436" s="33"/>
    </row>
    <row r="437" spans="1:25" x14ac:dyDescent="0.2">
      <c r="A437" s="24"/>
      <c r="B437" s="24"/>
      <c r="C437" s="24">
        <v>32</v>
      </c>
      <c r="D437" s="25">
        <v>269.80799999999999</v>
      </c>
      <c r="E437" s="26">
        <v>43.804400000000001</v>
      </c>
      <c r="F437" s="26"/>
      <c r="G437" s="26"/>
      <c r="H437" s="26"/>
      <c r="I437" s="26"/>
      <c r="J437" s="27">
        <f t="shared" si="16"/>
        <v>0</v>
      </c>
      <c r="L437" s="25"/>
      <c r="M437" s="26"/>
      <c r="N437" s="26"/>
      <c r="O437" s="26"/>
      <c r="P437" s="26"/>
      <c r="Q437" s="26"/>
      <c r="R437" s="27">
        <f t="shared" si="17"/>
        <v>0</v>
      </c>
      <c r="S437" s="20"/>
      <c r="T437" s="31"/>
      <c r="U437" s="32"/>
      <c r="V437" s="32"/>
      <c r="W437" s="31"/>
      <c r="X437" s="32"/>
      <c r="Y437" s="33"/>
    </row>
    <row r="438" spans="1:25" ht="12.75" thickBot="1" x14ac:dyDescent="0.25">
      <c r="A438" s="24"/>
      <c r="B438" s="34"/>
      <c r="C438" s="34">
        <v>37</v>
      </c>
      <c r="D438" s="35">
        <v>163.88</v>
      </c>
      <c r="E438" s="36">
        <v>40.883954000000003</v>
      </c>
      <c r="F438" s="36"/>
      <c r="G438" s="36"/>
      <c r="H438" s="36"/>
      <c r="I438" s="36"/>
      <c r="J438" s="37">
        <f t="shared" si="16"/>
        <v>0</v>
      </c>
      <c r="L438" s="35"/>
      <c r="M438" s="36"/>
      <c r="N438" s="36"/>
      <c r="O438" s="36"/>
      <c r="P438" s="36"/>
      <c r="Q438" s="36"/>
      <c r="R438" s="37">
        <f t="shared" si="17"/>
        <v>0</v>
      </c>
      <c r="S438" s="20"/>
      <c r="T438" s="41"/>
      <c r="U438" s="42"/>
      <c r="V438" s="42"/>
      <c r="W438" s="41"/>
      <c r="X438" s="42"/>
      <c r="Y438" s="43"/>
    </row>
    <row r="439" spans="1:25" x14ac:dyDescent="0.2">
      <c r="A439" s="24"/>
      <c r="B439" s="13" t="s">
        <v>109</v>
      </c>
      <c r="C439" s="13">
        <v>22</v>
      </c>
      <c r="D439" s="14">
        <v>4736.7920000000004</v>
      </c>
      <c r="E439" s="15">
        <v>48.734516999999997</v>
      </c>
      <c r="F439" s="15">
        <v>46.166387</v>
      </c>
      <c r="G439" s="15">
        <v>47.176152000000002</v>
      </c>
      <c r="H439" s="15">
        <v>47.234074</v>
      </c>
      <c r="I439" s="15"/>
      <c r="J439" s="16">
        <f t="shared" si="16"/>
        <v>1.3120576111111112E-2</v>
      </c>
      <c r="L439" s="14"/>
      <c r="M439" s="15"/>
      <c r="N439" s="15"/>
      <c r="O439" s="15"/>
      <c r="P439" s="15"/>
      <c r="Q439" s="15"/>
      <c r="R439" s="16">
        <f t="shared" si="17"/>
        <v>0</v>
      </c>
      <c r="S439" s="20"/>
      <c r="T439" s="21" t="e">
        <f>bdrate($D439:$D442,E439:E442,$L439:$L442,M439:M442)</f>
        <v>#VALUE!</v>
      </c>
      <c r="U439" s="22" t="e">
        <f>bdrate($D439:$D442,F439:F442,$L439:$L442,N439:N442)</f>
        <v>#VALUE!</v>
      </c>
      <c r="V439" s="22" t="e">
        <f>bdrate($D439:$D442,G439:G442,$L439:$L442,O439:O442)</f>
        <v>#VALUE!</v>
      </c>
      <c r="W439" s="44" t="e">
        <f>bdrateOld($D439:$D442,E439:E442,$L439:$L442,M439:M442)</f>
        <v>#VALUE!</v>
      </c>
      <c r="X439" s="45" t="e">
        <f>bdrateOld($D439:$D442,F439:F442,$L439:$L442,N439:N442)</f>
        <v>#VALUE!</v>
      </c>
      <c r="Y439" s="46" t="e">
        <f>bdrateOld($D439:$D442,G439:G442,$L439:$L442,O439:O442)</f>
        <v>#VALUE!</v>
      </c>
    </row>
    <row r="440" spans="1:25" x14ac:dyDescent="0.2">
      <c r="A440" s="24"/>
      <c r="B440" s="24" t="s">
        <v>114</v>
      </c>
      <c r="C440" s="24">
        <v>27</v>
      </c>
      <c r="D440" s="25">
        <v>2853.6080000000002</v>
      </c>
      <c r="E440" s="26">
        <v>45.418595000000003</v>
      </c>
      <c r="F440" s="26">
        <v>42.37903</v>
      </c>
      <c r="G440" s="26">
        <v>43.433630000000001</v>
      </c>
      <c r="H440" s="26">
        <v>43.568902000000001</v>
      </c>
      <c r="I440" s="26"/>
      <c r="J440" s="27">
        <f t="shared" si="16"/>
        <v>1.2102472777777777E-2</v>
      </c>
      <c r="L440" s="25"/>
      <c r="M440" s="26"/>
      <c r="N440" s="26"/>
      <c r="O440" s="26"/>
      <c r="P440" s="26"/>
      <c r="Q440" s="26"/>
      <c r="R440" s="27">
        <f t="shared" si="17"/>
        <v>0</v>
      </c>
      <c r="S440" s="20"/>
      <c r="T440" s="31"/>
      <c r="U440" s="32"/>
      <c r="V440" s="32"/>
      <c r="W440" s="31"/>
      <c r="X440" s="32"/>
      <c r="Y440" s="33"/>
    </row>
    <row r="441" spans="1:25" x14ac:dyDescent="0.2">
      <c r="A441" s="24"/>
      <c r="B441" s="24"/>
      <c r="C441" s="24">
        <v>32</v>
      </c>
      <c r="D441" s="25">
        <v>1501.3520000000001</v>
      </c>
      <c r="E441" s="26">
        <v>42.515009999999997</v>
      </c>
      <c r="F441" s="26">
        <v>38.493200000000002</v>
      </c>
      <c r="G441" s="26">
        <v>39.860661999999998</v>
      </c>
      <c r="H441" s="26">
        <v>39.988785999999998</v>
      </c>
      <c r="I441" s="26"/>
      <c r="J441" s="27">
        <f t="shared" si="16"/>
        <v>1.110799611111111E-2</v>
      </c>
      <c r="L441" s="25"/>
      <c r="M441" s="26"/>
      <c r="N441" s="26"/>
      <c r="O441" s="26"/>
      <c r="P441" s="26"/>
      <c r="Q441" s="26"/>
      <c r="R441" s="27">
        <f t="shared" si="17"/>
        <v>0</v>
      </c>
      <c r="S441" s="20"/>
      <c r="T441" s="31"/>
      <c r="U441" s="32"/>
      <c r="V441" s="32"/>
      <c r="W441" s="31"/>
      <c r="X441" s="32"/>
      <c r="Y441" s="33"/>
    </row>
    <row r="442" spans="1:25" ht="12.75" thickBot="1" x14ac:dyDescent="0.25">
      <c r="A442" s="24"/>
      <c r="B442" s="34"/>
      <c r="C442" s="34">
        <v>37</v>
      </c>
      <c r="D442" s="35">
        <v>662.28</v>
      </c>
      <c r="E442" s="36">
        <v>40.213627000000002</v>
      </c>
      <c r="F442" s="36">
        <v>34.887869999999999</v>
      </c>
      <c r="G442" s="36">
        <v>36.749388000000003</v>
      </c>
      <c r="H442" s="36">
        <v>36.770386000000002</v>
      </c>
      <c r="I442" s="36"/>
      <c r="J442" s="37">
        <f t="shared" si="16"/>
        <v>1.0213996111111111E-2</v>
      </c>
      <c r="L442" s="35"/>
      <c r="M442" s="36"/>
      <c r="N442" s="36"/>
      <c r="O442" s="36"/>
      <c r="P442" s="36"/>
      <c r="Q442" s="36"/>
      <c r="R442" s="37">
        <f t="shared" si="17"/>
        <v>0</v>
      </c>
      <c r="S442" s="20"/>
      <c r="T442" s="41"/>
      <c r="U442" s="42"/>
      <c r="V442" s="42"/>
      <c r="W442" s="41"/>
      <c r="X442" s="42"/>
      <c r="Y442" s="43"/>
    </row>
    <row r="443" spans="1:25" x14ac:dyDescent="0.2">
      <c r="A443" s="24"/>
      <c r="B443" s="13" t="s">
        <v>112</v>
      </c>
      <c r="C443" s="13">
        <v>22</v>
      </c>
      <c r="D443" s="14">
        <v>3917.3760000000002</v>
      </c>
      <c r="E443" s="15">
        <v>47.823506000000002</v>
      </c>
      <c r="F443" s="15">
        <v>521.49453600000004</v>
      </c>
      <c r="G443" s="15">
        <v>521.97302100000002</v>
      </c>
      <c r="H443" s="15">
        <v>46.725465999999997</v>
      </c>
      <c r="I443" s="15"/>
      <c r="J443" s="16">
        <f t="shared" si="16"/>
        <v>1.2979296111111111E-2</v>
      </c>
      <c r="L443" s="14"/>
      <c r="M443" s="15"/>
      <c r="N443" s="15"/>
      <c r="O443" s="15"/>
      <c r="P443" s="15"/>
      <c r="Q443" s="15"/>
      <c r="R443" s="16">
        <f t="shared" si="17"/>
        <v>0</v>
      </c>
      <c r="S443" s="20"/>
      <c r="T443" s="21" t="e">
        <f>bdrate($D443:$D446,E443:E446,$L443:$L446,M443:M446)</f>
        <v>#VALUE!</v>
      </c>
      <c r="U443" s="22" t="e">
        <f>bdrate($D443:$D446,F443:F446,$L443:$L446,N443:N446)</f>
        <v>#VALUE!</v>
      </c>
      <c r="V443" s="22" t="e">
        <f>bdrate($D443:$D446,G443:G446,$L443:$L446,O443:O446)</f>
        <v>#VALUE!</v>
      </c>
      <c r="W443" s="44" t="e">
        <f>bdrateOld($D443:$D446,E443:E446,$L443:$L446,M443:M446)</f>
        <v>#VALUE!</v>
      </c>
      <c r="X443" s="45" t="e">
        <f>bdrateOld($D443:$D446,F443:F446,$L443:$L446,N443:N446)</f>
        <v>#VALUE!</v>
      </c>
      <c r="Y443" s="46" t="e">
        <f>bdrateOld($D443:$D446,G443:G446,$L443:$L446,O443:O446)</f>
        <v>#VALUE!</v>
      </c>
    </row>
    <row r="444" spans="1:25" x14ac:dyDescent="0.2">
      <c r="A444" s="24"/>
      <c r="B444" s="24"/>
      <c r="C444" s="24">
        <v>27</v>
      </c>
      <c r="D444" s="25">
        <v>1901.96</v>
      </c>
      <c r="E444" s="26">
        <v>44.445188000000002</v>
      </c>
      <c r="F444" s="26">
        <v>519.04200100000003</v>
      </c>
      <c r="G444" s="26">
        <v>519.68475599999999</v>
      </c>
      <c r="H444" s="26">
        <v>42.282288999999999</v>
      </c>
      <c r="I444" s="26"/>
      <c r="J444" s="27">
        <f t="shared" si="16"/>
        <v>1.1745080277777778E-2</v>
      </c>
      <c r="L444" s="25"/>
      <c r="M444" s="26"/>
      <c r="N444" s="26"/>
      <c r="O444" s="26"/>
      <c r="P444" s="26"/>
      <c r="Q444" s="26"/>
      <c r="R444" s="27">
        <f t="shared" si="17"/>
        <v>0</v>
      </c>
      <c r="S444" s="20"/>
      <c r="T444" s="31"/>
      <c r="U444" s="32"/>
      <c r="V444" s="32"/>
      <c r="W444" s="31"/>
      <c r="X444" s="32"/>
      <c r="Y444" s="33"/>
    </row>
    <row r="445" spans="1:25" x14ac:dyDescent="0.2">
      <c r="A445" s="24"/>
      <c r="B445" s="24" t="s">
        <v>116</v>
      </c>
      <c r="C445" s="24">
        <v>32</v>
      </c>
      <c r="D445" s="25">
        <v>744.43200000000002</v>
      </c>
      <c r="E445" s="26">
        <v>41.545271999999997</v>
      </c>
      <c r="F445" s="26">
        <v>516.74931200000003</v>
      </c>
      <c r="G445" s="26">
        <v>517.72729400000003</v>
      </c>
      <c r="H445" s="26">
        <v>38.271183000000001</v>
      </c>
      <c r="I445" s="26"/>
      <c r="J445" s="27">
        <f t="shared" si="16"/>
        <v>1.0630884166666667E-2</v>
      </c>
      <c r="L445" s="25"/>
      <c r="M445" s="26"/>
      <c r="N445" s="26"/>
      <c r="O445" s="26"/>
      <c r="P445" s="26"/>
      <c r="Q445" s="26"/>
      <c r="R445" s="27">
        <f t="shared" si="17"/>
        <v>0</v>
      </c>
      <c r="S445" s="20"/>
      <c r="T445" s="31"/>
      <c r="U445" s="32"/>
      <c r="V445" s="32"/>
      <c r="W445" s="31"/>
      <c r="X445" s="32"/>
      <c r="Y445" s="33"/>
    </row>
    <row r="446" spans="1:25" ht="12.75" thickBot="1" x14ac:dyDescent="0.25">
      <c r="A446" s="24"/>
      <c r="B446" s="34"/>
      <c r="C446" s="34">
        <v>37</v>
      </c>
      <c r="D446" s="35">
        <v>292.54399999999998</v>
      </c>
      <c r="E446" s="36">
        <v>38.936836</v>
      </c>
      <c r="F446" s="36">
        <v>515.14855599999999</v>
      </c>
      <c r="G446" s="36">
        <v>516.76291900000001</v>
      </c>
      <c r="H446" s="36">
        <v>35.573531000000003</v>
      </c>
      <c r="I446" s="36"/>
      <c r="J446" s="37">
        <f t="shared" si="16"/>
        <v>9.8815363888888896E-3</v>
      </c>
      <c r="L446" s="35"/>
      <c r="M446" s="36"/>
      <c r="N446" s="36"/>
      <c r="O446" s="36"/>
      <c r="P446" s="36"/>
      <c r="Q446" s="36"/>
      <c r="R446" s="37">
        <f t="shared" si="17"/>
        <v>0</v>
      </c>
      <c r="S446" s="20"/>
      <c r="T446" s="41"/>
      <c r="U446" s="42"/>
      <c r="V446" s="42"/>
      <c r="W446" s="41"/>
      <c r="X446" s="42"/>
      <c r="Y446" s="43"/>
    </row>
    <row r="447" spans="1:25" x14ac:dyDescent="0.2">
      <c r="A447" s="24"/>
      <c r="B447" s="13" t="s">
        <v>113</v>
      </c>
      <c r="C447" s="13">
        <v>22</v>
      </c>
      <c r="D447" s="14">
        <v>5331.768</v>
      </c>
      <c r="E447" s="15">
        <v>47.981062000000001</v>
      </c>
      <c r="F447" s="15">
        <v>523.15732800000001</v>
      </c>
      <c r="G447" s="15">
        <v>523.66842199999996</v>
      </c>
      <c r="H447" s="15">
        <v>49.069274</v>
      </c>
      <c r="I447" s="15"/>
      <c r="J447" s="16">
        <f t="shared" si="16"/>
        <v>1.3630353888888889E-2</v>
      </c>
      <c r="L447" s="14"/>
      <c r="M447" s="15"/>
      <c r="N447" s="15"/>
      <c r="O447" s="15"/>
      <c r="P447" s="15"/>
      <c r="Q447" s="15"/>
      <c r="R447" s="16">
        <f t="shared" si="17"/>
        <v>0</v>
      </c>
      <c r="S447" s="20"/>
      <c r="T447" s="21" t="e">
        <f>bdrate($D447:$D450,E447:E450,$L447:$L450,M447:M450)</f>
        <v>#VALUE!</v>
      </c>
      <c r="U447" s="22" t="e">
        <f>bdrate($D447:$D450,F447:F450,$L447:$L450,N447:N450)</f>
        <v>#VALUE!</v>
      </c>
      <c r="V447" s="22" t="e">
        <f>bdrate($D447:$D450,G447:G450,$L447:$L450,O447:O450)</f>
        <v>#VALUE!</v>
      </c>
      <c r="W447" s="44" t="e">
        <f>bdrateOld($D447:$D450,E447:E450,$L447:$L450,M447:M450)</f>
        <v>#VALUE!</v>
      </c>
      <c r="X447" s="45" t="e">
        <f>bdrateOld($D447:$D450,F447:F450,$L447:$L450,N447:N450)</f>
        <v>#VALUE!</v>
      </c>
      <c r="Y447" s="46" t="e">
        <f>bdrateOld($D447:$D450,G447:G450,$L447:$L450,O447:O450)</f>
        <v>#VALUE!</v>
      </c>
    </row>
    <row r="448" spans="1:25" x14ac:dyDescent="0.2">
      <c r="A448" s="24"/>
      <c r="B448" s="24"/>
      <c r="C448" s="24">
        <v>27</v>
      </c>
      <c r="D448" s="25">
        <v>3212.8960000000002</v>
      </c>
      <c r="E448" s="26">
        <v>44.429279999999999</v>
      </c>
      <c r="F448" s="26">
        <v>54.734330999999997</v>
      </c>
      <c r="G448" s="26">
        <v>55.219436000000002</v>
      </c>
      <c r="H448" s="26">
        <v>45.37556</v>
      </c>
      <c r="I448" s="26"/>
      <c r="J448" s="27">
        <f t="shared" si="16"/>
        <v>1.2604322222222223E-2</v>
      </c>
      <c r="L448" s="25"/>
      <c r="M448" s="26"/>
      <c r="N448" s="26"/>
      <c r="O448" s="26"/>
      <c r="P448" s="26"/>
      <c r="Q448" s="26"/>
      <c r="R448" s="27">
        <f t="shared" si="17"/>
        <v>0</v>
      </c>
      <c r="S448" s="20"/>
      <c r="T448" s="31"/>
      <c r="U448" s="32"/>
      <c r="V448" s="32"/>
      <c r="W448" s="31"/>
      <c r="X448" s="32"/>
      <c r="Y448" s="33"/>
    </row>
    <row r="449" spans="1:25" x14ac:dyDescent="0.2">
      <c r="A449" s="24"/>
      <c r="B449" s="24" t="s">
        <v>116</v>
      </c>
      <c r="C449" s="24">
        <v>32</v>
      </c>
      <c r="D449" s="25">
        <v>1727.288</v>
      </c>
      <c r="E449" s="26">
        <v>41.057789</v>
      </c>
      <c r="F449" s="26">
        <v>50.220125000000003</v>
      </c>
      <c r="G449" s="26">
        <v>46.866584000000003</v>
      </c>
      <c r="H449" s="26">
        <v>41.693810999999997</v>
      </c>
      <c r="I449" s="26"/>
      <c r="J449" s="27">
        <f t="shared" si="16"/>
        <v>1.1581614166666665E-2</v>
      </c>
      <c r="L449" s="25"/>
      <c r="M449" s="26"/>
      <c r="N449" s="26"/>
      <c r="O449" s="26"/>
      <c r="P449" s="26"/>
      <c r="Q449" s="26"/>
      <c r="R449" s="27">
        <f t="shared" si="17"/>
        <v>0</v>
      </c>
      <c r="S449" s="20"/>
      <c r="T449" s="31"/>
      <c r="U449" s="32"/>
      <c r="V449" s="32"/>
      <c r="W449" s="31"/>
      <c r="X449" s="32"/>
      <c r="Y449" s="33"/>
    </row>
    <row r="450" spans="1:25" ht="12.75" thickBot="1" x14ac:dyDescent="0.25">
      <c r="A450" s="24"/>
      <c r="B450" s="34"/>
      <c r="C450" s="34">
        <v>37</v>
      </c>
      <c r="D450" s="35">
        <v>795.976</v>
      </c>
      <c r="E450" s="36">
        <v>38.168908999999999</v>
      </c>
      <c r="F450" s="36">
        <v>44.210771999999999</v>
      </c>
      <c r="G450" s="36">
        <v>45.851733000000003</v>
      </c>
      <c r="H450" s="36">
        <v>38.422739</v>
      </c>
      <c r="I450" s="36"/>
      <c r="J450" s="37">
        <f t="shared" si="16"/>
        <v>1.0672983055555555E-2</v>
      </c>
      <c r="L450" s="35"/>
      <c r="M450" s="36"/>
      <c r="N450" s="36"/>
      <c r="O450" s="36"/>
      <c r="P450" s="36"/>
      <c r="Q450" s="36"/>
      <c r="R450" s="37">
        <f t="shared" si="17"/>
        <v>0</v>
      </c>
      <c r="S450" s="20"/>
      <c r="T450" s="41"/>
      <c r="U450" s="42"/>
      <c r="V450" s="42"/>
      <c r="W450" s="41"/>
      <c r="X450" s="42"/>
      <c r="Y450" s="43"/>
    </row>
    <row r="451" spans="1:25" x14ac:dyDescent="0.2">
      <c r="A451" s="24"/>
      <c r="B451" s="13" t="s">
        <v>127</v>
      </c>
      <c r="C451" s="13">
        <v>22</v>
      </c>
      <c r="D451" s="14">
        <v>4693.5600000000004</v>
      </c>
      <c r="E451" s="15">
        <v>43.100324000000001</v>
      </c>
      <c r="F451" s="15"/>
      <c r="G451" s="15"/>
      <c r="H451" s="15"/>
      <c r="I451" s="15"/>
      <c r="J451" s="16">
        <f t="shared" si="16"/>
        <v>0</v>
      </c>
      <c r="L451" s="14"/>
      <c r="M451" s="15"/>
      <c r="N451" s="15"/>
      <c r="O451" s="15"/>
      <c r="P451" s="15"/>
      <c r="Q451" s="15"/>
      <c r="R451" s="16">
        <f t="shared" si="17"/>
        <v>0</v>
      </c>
      <c r="S451" s="20"/>
      <c r="T451" s="21" t="e">
        <f>bdrate($D451:$D454,E451:E454,$L451:$L454,M451:M454)</f>
        <v>#VALUE!</v>
      </c>
      <c r="U451" s="22" t="e">
        <f>bdrate($D451:$D454,F451:F454,$L451:$L454,N451:N454)</f>
        <v>#VALUE!</v>
      </c>
      <c r="V451" s="22" t="e">
        <f>bdrate($D451:$D454,G451:G454,$L451:$L454,O451:O454)</f>
        <v>#VALUE!</v>
      </c>
      <c r="W451" s="44" t="e">
        <f>bdrateOld($D451:$D454,E451:E454,$L451:$L454,M451:M454)</f>
        <v>#VALUE!</v>
      </c>
      <c r="X451" s="45" t="e">
        <f>bdrateOld($D451:$D454,F451:F454,$L451:$L454,N451:N454)</f>
        <v>#VALUE!</v>
      </c>
      <c r="Y451" s="46" t="e">
        <f>bdrateOld($D451:$D454,G451:G454,$L451:$L454,O451:O454)</f>
        <v>#VALUE!</v>
      </c>
    </row>
    <row r="452" spans="1:25" x14ac:dyDescent="0.2">
      <c r="A452" s="24"/>
      <c r="B452" s="152">
        <v>400</v>
      </c>
      <c r="C452" s="24">
        <v>27</v>
      </c>
      <c r="D452" s="25">
        <v>1909.152</v>
      </c>
      <c r="E452" s="26">
        <v>39.657322000000001</v>
      </c>
      <c r="F452" s="26"/>
      <c r="G452" s="26"/>
      <c r="H452" s="26"/>
      <c r="I452" s="26"/>
      <c r="J452" s="27">
        <f t="shared" si="16"/>
        <v>0</v>
      </c>
      <c r="L452" s="25"/>
      <c r="M452" s="26"/>
      <c r="N452" s="26"/>
      <c r="O452" s="26"/>
      <c r="P452" s="26"/>
      <c r="Q452" s="26"/>
      <c r="R452" s="27">
        <f t="shared" si="17"/>
        <v>0</v>
      </c>
      <c r="S452" s="20"/>
      <c r="T452" s="31"/>
      <c r="U452" s="32"/>
      <c r="V452" s="32"/>
      <c r="W452" s="31"/>
      <c r="X452" s="32"/>
      <c r="Y452" s="33"/>
    </row>
    <row r="453" spans="1:25" x14ac:dyDescent="0.2">
      <c r="A453" s="24"/>
      <c r="B453" s="24" t="s">
        <v>128</v>
      </c>
      <c r="C453" s="24">
        <v>32</v>
      </c>
      <c r="D453" s="25">
        <v>763.47199999999998</v>
      </c>
      <c r="E453" s="26">
        <v>37.103715000000001</v>
      </c>
      <c r="F453" s="26"/>
      <c r="G453" s="26"/>
      <c r="H453" s="26"/>
      <c r="I453" s="26"/>
      <c r="J453" s="27">
        <f t="shared" si="16"/>
        <v>0</v>
      </c>
      <c r="L453" s="25"/>
      <c r="M453" s="26"/>
      <c r="N453" s="26"/>
      <c r="O453" s="26"/>
      <c r="P453" s="26"/>
      <c r="Q453" s="26"/>
      <c r="R453" s="27">
        <f t="shared" si="17"/>
        <v>0</v>
      </c>
      <c r="S453" s="20"/>
      <c r="T453" s="31"/>
      <c r="U453" s="32"/>
      <c r="V453" s="32"/>
      <c r="W453" s="31"/>
      <c r="X453" s="32"/>
      <c r="Y453" s="33"/>
    </row>
    <row r="454" spans="1:25" ht="12.75" thickBot="1" x14ac:dyDescent="0.25">
      <c r="A454" s="24"/>
      <c r="B454" s="34"/>
      <c r="C454" s="34">
        <v>37</v>
      </c>
      <c r="D454" s="35">
        <v>397.76799999999997</v>
      </c>
      <c r="E454" s="36">
        <v>35.097676999999997</v>
      </c>
      <c r="F454" s="36"/>
      <c r="G454" s="36"/>
      <c r="H454" s="36"/>
      <c r="I454" s="36"/>
      <c r="J454" s="37">
        <f t="shared" si="16"/>
        <v>0</v>
      </c>
      <c r="L454" s="35"/>
      <c r="M454" s="36"/>
      <c r="N454" s="36"/>
      <c r="O454" s="36"/>
      <c r="P454" s="36"/>
      <c r="Q454" s="36"/>
      <c r="R454" s="37">
        <f t="shared" si="17"/>
        <v>0</v>
      </c>
      <c r="S454" s="20"/>
      <c r="T454" s="41"/>
      <c r="U454" s="42"/>
      <c r="V454" s="42"/>
      <c r="W454" s="41"/>
      <c r="X454" s="42"/>
      <c r="Y454" s="43"/>
    </row>
    <row r="455" spans="1:25" x14ac:dyDescent="0.2">
      <c r="A455" s="24"/>
      <c r="B455" s="13"/>
      <c r="C455" s="13">
        <v>22</v>
      </c>
      <c r="D455" s="14"/>
      <c r="E455" s="15"/>
      <c r="F455" s="15"/>
      <c r="G455" s="15"/>
      <c r="H455" s="15"/>
      <c r="I455" s="15"/>
      <c r="J455" s="16">
        <f t="shared" si="16"/>
        <v>0</v>
      </c>
      <c r="L455" s="14"/>
      <c r="M455" s="15"/>
      <c r="N455" s="15"/>
      <c r="O455" s="15"/>
      <c r="P455" s="15"/>
      <c r="Q455" s="15"/>
      <c r="R455" s="16">
        <f t="shared" si="17"/>
        <v>0</v>
      </c>
      <c r="S455" s="20"/>
      <c r="T455" s="21" t="e">
        <f>bdrate($D455:$D458,E455:E458,$L455:$L458,M455:M458)</f>
        <v>#VALUE!</v>
      </c>
      <c r="U455" s="22" t="e">
        <f>bdrate($D455:$D458,F455:F458,$L455:$L458,N455:N458)</f>
        <v>#VALUE!</v>
      </c>
      <c r="V455" s="22" t="e">
        <f>bdrate($D455:$D458,G455:G458,$L455:$L458,O455:O458)</f>
        <v>#VALUE!</v>
      </c>
      <c r="W455" s="44" t="e">
        <f>bdrateOld($D455:$D458,E455:E458,$L455:$L458,M455:M458)</f>
        <v>#VALUE!</v>
      </c>
      <c r="X455" s="45" t="e">
        <f>bdrateOld($D455:$D458,F455:F458,$L455:$L458,N455:N458)</f>
        <v>#VALUE!</v>
      </c>
      <c r="Y455" s="46" t="e">
        <f>bdrateOld($D455:$D458,G455:G458,$L455:$L458,O455:O458)</f>
        <v>#VALUE!</v>
      </c>
    </row>
    <row r="456" spans="1:25" x14ac:dyDescent="0.2">
      <c r="A456" s="24"/>
      <c r="B456" s="24"/>
      <c r="C456" s="24">
        <v>27</v>
      </c>
      <c r="D456" s="25"/>
      <c r="E456" s="26"/>
      <c r="F456" s="26"/>
      <c r="G456" s="26"/>
      <c r="H456" s="26"/>
      <c r="I456" s="26"/>
      <c r="J456" s="27">
        <f t="shared" si="16"/>
        <v>0</v>
      </c>
      <c r="L456" s="25"/>
      <c r="M456" s="26"/>
      <c r="N456" s="26"/>
      <c r="O456" s="26"/>
      <c r="P456" s="26"/>
      <c r="Q456" s="26"/>
      <c r="R456" s="27">
        <f t="shared" si="17"/>
        <v>0</v>
      </c>
      <c r="S456" s="20"/>
      <c r="T456" s="31"/>
      <c r="U456" s="32"/>
      <c r="V456" s="32"/>
      <c r="W456" s="31"/>
      <c r="X456" s="32"/>
      <c r="Y456" s="33"/>
    </row>
    <row r="457" spans="1:25" x14ac:dyDescent="0.2">
      <c r="A457" s="24"/>
      <c r="B457" s="24"/>
      <c r="C457" s="24">
        <v>32</v>
      </c>
      <c r="D457" s="25"/>
      <c r="E457" s="26"/>
      <c r="F457" s="26"/>
      <c r="G457" s="26"/>
      <c r="H457" s="26"/>
      <c r="I457" s="26"/>
      <c r="J457" s="27">
        <f t="shared" si="16"/>
        <v>0</v>
      </c>
      <c r="L457" s="25"/>
      <c r="M457" s="26"/>
      <c r="N457" s="26"/>
      <c r="O457" s="26"/>
      <c r="P457" s="26"/>
      <c r="Q457" s="26"/>
      <c r="R457" s="27">
        <f t="shared" si="17"/>
        <v>0</v>
      </c>
      <c r="S457" s="20"/>
      <c r="T457" s="31"/>
      <c r="U457" s="32"/>
      <c r="V457" s="32"/>
      <c r="W457" s="31"/>
      <c r="X457" s="32"/>
      <c r="Y457" s="33"/>
    </row>
    <row r="458" spans="1:25" ht="12.75" thickBot="1" x14ac:dyDescent="0.25">
      <c r="A458" s="24"/>
      <c r="B458" s="34"/>
      <c r="C458" s="34">
        <v>37</v>
      </c>
      <c r="D458" s="35"/>
      <c r="E458" s="36"/>
      <c r="F458" s="36"/>
      <c r="G458" s="36"/>
      <c r="H458" s="36"/>
      <c r="I458" s="36"/>
      <c r="J458" s="37">
        <f t="shared" si="16"/>
        <v>0</v>
      </c>
      <c r="L458" s="35"/>
      <c r="M458" s="36"/>
      <c r="N458" s="36"/>
      <c r="O458" s="36"/>
      <c r="P458" s="36"/>
      <c r="Q458" s="36"/>
      <c r="R458" s="37">
        <f t="shared" si="17"/>
        <v>0</v>
      </c>
      <c r="S458" s="20"/>
      <c r="T458" s="41"/>
      <c r="U458" s="42"/>
      <c r="V458" s="42"/>
      <c r="W458" s="41"/>
      <c r="X458" s="42"/>
      <c r="Y458" s="43"/>
    </row>
    <row r="459" spans="1:25" x14ac:dyDescent="0.2">
      <c r="A459" s="24"/>
      <c r="B459" s="13"/>
      <c r="C459" s="13">
        <v>22</v>
      </c>
      <c r="D459" s="14"/>
      <c r="E459" s="15"/>
      <c r="F459" s="15"/>
      <c r="G459" s="15"/>
      <c r="H459" s="15"/>
      <c r="I459" s="15"/>
      <c r="J459" s="16">
        <f t="shared" si="16"/>
        <v>0</v>
      </c>
      <c r="L459" s="14"/>
      <c r="M459" s="15"/>
      <c r="N459" s="15"/>
      <c r="O459" s="15"/>
      <c r="P459" s="15"/>
      <c r="Q459" s="15"/>
      <c r="R459" s="16">
        <f t="shared" si="17"/>
        <v>0</v>
      </c>
      <c r="S459" s="20"/>
      <c r="T459" s="21" t="e">
        <f>bdrate($D459:$D462,E459:E462,$L459:$L462,M459:M462)</f>
        <v>#VALUE!</v>
      </c>
      <c r="U459" s="22" t="e">
        <f>bdrate($D459:$D462,F459:F462,$L459:$L462,N459:N462)</f>
        <v>#VALUE!</v>
      </c>
      <c r="V459" s="22" t="e">
        <f>bdrate($D459:$D462,G459:G462,$L459:$L462,O459:O462)</f>
        <v>#VALUE!</v>
      </c>
      <c r="W459" s="44" t="e">
        <f>bdrateOld($D459:$D462,E459:E462,$L459:$L462,M459:M462)</f>
        <v>#VALUE!</v>
      </c>
      <c r="X459" s="45" t="e">
        <f>bdrateOld($D459:$D462,F459:F462,$L459:$L462,N459:N462)</f>
        <v>#VALUE!</v>
      </c>
      <c r="Y459" s="46" t="e">
        <f>bdrateOld($D459:$D462,G459:G462,$L459:$L462,O459:O462)</f>
        <v>#VALUE!</v>
      </c>
    </row>
    <row r="460" spans="1:25" x14ac:dyDescent="0.2">
      <c r="A460" s="24"/>
      <c r="B460" s="24"/>
      <c r="C460" s="24">
        <v>27</v>
      </c>
      <c r="D460" s="25"/>
      <c r="E460" s="26"/>
      <c r="F460" s="26"/>
      <c r="G460" s="26"/>
      <c r="H460" s="26"/>
      <c r="I460" s="26"/>
      <c r="J460" s="27">
        <f t="shared" si="16"/>
        <v>0</v>
      </c>
      <c r="L460" s="25"/>
      <c r="M460" s="26"/>
      <c r="N460" s="26"/>
      <c r="O460" s="26"/>
      <c r="P460" s="26"/>
      <c r="Q460" s="26"/>
      <c r="R460" s="27">
        <f t="shared" si="17"/>
        <v>0</v>
      </c>
      <c r="S460" s="20"/>
      <c r="T460" s="31"/>
      <c r="U460" s="32"/>
      <c r="V460" s="32"/>
      <c r="W460" s="31"/>
      <c r="X460" s="32"/>
      <c r="Y460" s="33"/>
    </row>
    <row r="461" spans="1:25" x14ac:dyDescent="0.2">
      <c r="A461" s="24"/>
      <c r="B461" s="24"/>
      <c r="C461" s="24">
        <v>32</v>
      </c>
      <c r="D461" s="25"/>
      <c r="E461" s="26"/>
      <c r="F461" s="26"/>
      <c r="G461" s="26"/>
      <c r="H461" s="26"/>
      <c r="I461" s="26"/>
      <c r="J461" s="27">
        <f t="shared" si="16"/>
        <v>0</v>
      </c>
      <c r="L461" s="25"/>
      <c r="M461" s="26"/>
      <c r="N461" s="26"/>
      <c r="O461" s="26"/>
      <c r="P461" s="26"/>
      <c r="Q461" s="26"/>
      <c r="R461" s="27">
        <f t="shared" si="17"/>
        <v>0</v>
      </c>
      <c r="S461" s="20"/>
      <c r="T461" s="31"/>
      <c r="U461" s="32"/>
      <c r="V461" s="32"/>
      <c r="W461" s="31"/>
      <c r="X461" s="32"/>
      <c r="Y461" s="33"/>
    </row>
    <row r="462" spans="1:25" ht="12.75" thickBot="1" x14ac:dyDescent="0.25">
      <c r="A462" s="24"/>
      <c r="B462" s="34"/>
      <c r="C462" s="34">
        <v>37</v>
      </c>
      <c r="D462" s="35"/>
      <c r="E462" s="36"/>
      <c r="F462" s="36"/>
      <c r="G462" s="36"/>
      <c r="H462" s="36"/>
      <c r="I462" s="36"/>
      <c r="J462" s="37">
        <f t="shared" si="16"/>
        <v>0</v>
      </c>
      <c r="L462" s="35"/>
      <c r="M462" s="36"/>
      <c r="N462" s="36"/>
      <c r="O462" s="36"/>
      <c r="P462" s="36"/>
      <c r="Q462" s="36"/>
      <c r="R462" s="37">
        <f t="shared" si="17"/>
        <v>0</v>
      </c>
      <c r="S462" s="20"/>
      <c r="T462" s="41"/>
      <c r="U462" s="42"/>
      <c r="V462" s="42"/>
      <c r="W462" s="41"/>
      <c r="X462" s="42"/>
      <c r="Y462" s="43"/>
    </row>
    <row r="463" spans="1:25" x14ac:dyDescent="0.2">
      <c r="A463" s="24"/>
      <c r="B463" s="13"/>
      <c r="C463" s="13">
        <v>22</v>
      </c>
      <c r="D463" s="14"/>
      <c r="E463" s="15"/>
      <c r="F463" s="15"/>
      <c r="G463" s="15"/>
      <c r="H463" s="15"/>
      <c r="I463" s="15"/>
      <c r="J463" s="16">
        <f t="shared" si="16"/>
        <v>0</v>
      </c>
      <c r="L463" s="14"/>
      <c r="M463" s="15"/>
      <c r="N463" s="15"/>
      <c r="O463" s="15"/>
      <c r="P463" s="15"/>
      <c r="Q463" s="15"/>
      <c r="R463" s="16">
        <f t="shared" si="17"/>
        <v>0</v>
      </c>
      <c r="S463" s="20"/>
      <c r="T463" s="21" t="e">
        <f>bdrate($D463:$D466,E463:E466,$L463:$L466,M463:M466)</f>
        <v>#VALUE!</v>
      </c>
      <c r="U463" s="22" t="e">
        <f>bdrate($D463:$D466,F463:F466,$L463:$L466,N463:N466)</f>
        <v>#VALUE!</v>
      </c>
      <c r="V463" s="22" t="e">
        <f>bdrate($D463:$D466,G463:G466,$L463:$L466,O463:O466)</f>
        <v>#VALUE!</v>
      </c>
      <c r="W463" s="44" t="e">
        <f>bdrateOld($D463:$D466,E463:E466,$L463:$L466,M463:M466)</f>
        <v>#VALUE!</v>
      </c>
      <c r="X463" s="45" t="e">
        <f>bdrateOld($D463:$D466,F463:F466,$L463:$L466,N463:N466)</f>
        <v>#VALUE!</v>
      </c>
      <c r="Y463" s="46" t="e">
        <f>bdrateOld($D463:$D466,G463:G466,$L463:$L466,O463:O466)</f>
        <v>#VALUE!</v>
      </c>
    </row>
    <row r="464" spans="1:25" x14ac:dyDescent="0.2">
      <c r="A464" s="24"/>
      <c r="B464" s="24"/>
      <c r="C464" s="24">
        <v>27</v>
      </c>
      <c r="D464" s="25"/>
      <c r="E464" s="26"/>
      <c r="F464" s="26"/>
      <c r="G464" s="26"/>
      <c r="H464" s="26"/>
      <c r="I464" s="26"/>
      <c r="J464" s="27">
        <f t="shared" si="16"/>
        <v>0</v>
      </c>
      <c r="L464" s="25"/>
      <c r="M464" s="26"/>
      <c r="N464" s="26"/>
      <c r="O464" s="26"/>
      <c r="P464" s="26"/>
      <c r="Q464" s="26"/>
      <c r="R464" s="27">
        <f t="shared" si="17"/>
        <v>0</v>
      </c>
      <c r="S464" s="20"/>
      <c r="T464" s="31"/>
      <c r="U464" s="32"/>
      <c r="V464" s="32"/>
      <c r="W464" s="31"/>
      <c r="X464" s="32"/>
      <c r="Y464" s="33"/>
    </row>
    <row r="465" spans="1:25" x14ac:dyDescent="0.2">
      <c r="A465" s="24"/>
      <c r="B465" s="24"/>
      <c r="C465" s="24">
        <v>32</v>
      </c>
      <c r="D465" s="25"/>
      <c r="E465" s="26"/>
      <c r="F465" s="26"/>
      <c r="G465" s="26"/>
      <c r="H465" s="26"/>
      <c r="I465" s="26"/>
      <c r="J465" s="27">
        <f t="shared" si="16"/>
        <v>0</v>
      </c>
      <c r="L465" s="25"/>
      <c r="M465" s="26"/>
      <c r="N465" s="26"/>
      <c r="O465" s="26"/>
      <c r="P465" s="26"/>
      <c r="Q465" s="26"/>
      <c r="R465" s="27">
        <f t="shared" si="17"/>
        <v>0</v>
      </c>
      <c r="S465" s="20"/>
      <c r="T465" s="31"/>
      <c r="U465" s="32"/>
      <c r="V465" s="32"/>
      <c r="W465" s="31"/>
      <c r="X465" s="32"/>
      <c r="Y465" s="33"/>
    </row>
    <row r="466" spans="1:25" ht="12.75" thickBot="1" x14ac:dyDescent="0.25">
      <c r="A466" s="24"/>
      <c r="B466" s="34"/>
      <c r="C466" s="34">
        <v>37</v>
      </c>
      <c r="D466" s="35"/>
      <c r="E466" s="36"/>
      <c r="F466" s="36"/>
      <c r="G466" s="36"/>
      <c r="H466" s="36"/>
      <c r="I466" s="36"/>
      <c r="J466" s="37">
        <f t="shared" si="16"/>
        <v>0</v>
      </c>
      <c r="L466" s="35"/>
      <c r="M466" s="36"/>
      <c r="N466" s="36"/>
      <c r="O466" s="36"/>
      <c r="P466" s="36"/>
      <c r="Q466" s="36"/>
      <c r="R466" s="37">
        <f t="shared" si="17"/>
        <v>0</v>
      </c>
      <c r="S466" s="20"/>
      <c r="T466" s="41"/>
      <c r="U466" s="42"/>
      <c r="V466" s="42"/>
      <c r="W466" s="41"/>
      <c r="X466" s="42"/>
      <c r="Y466" s="43"/>
    </row>
    <row r="467" spans="1:25" x14ac:dyDescent="0.2">
      <c r="A467" s="24"/>
      <c r="B467" s="13"/>
      <c r="C467" s="13">
        <v>22</v>
      </c>
      <c r="D467" s="14"/>
      <c r="E467" s="15"/>
      <c r="F467" s="15"/>
      <c r="G467" s="15"/>
      <c r="H467" s="15"/>
      <c r="I467" s="15"/>
      <c r="J467" s="16">
        <f t="shared" si="16"/>
        <v>0</v>
      </c>
      <c r="L467" s="14"/>
      <c r="M467" s="15"/>
      <c r="N467" s="15"/>
      <c r="O467" s="15"/>
      <c r="P467" s="15"/>
      <c r="Q467" s="15"/>
      <c r="R467" s="16">
        <f t="shared" si="17"/>
        <v>0</v>
      </c>
      <c r="S467" s="20"/>
      <c r="T467" s="21" t="e">
        <f>bdrate($D467:$D470,E467:E470,$L467:$L470,M467:M470)</f>
        <v>#VALUE!</v>
      </c>
      <c r="U467" s="22" t="e">
        <f>bdrate($D467:$D470,F467:F470,$L467:$L470,N467:N470)</f>
        <v>#VALUE!</v>
      </c>
      <c r="V467" s="22" t="e">
        <f>bdrate($D467:$D470,G467:G470,$L467:$L470,O467:O470)</f>
        <v>#VALUE!</v>
      </c>
      <c r="W467" s="44" t="e">
        <f>bdrateOld($D467:$D470,E467:E470,$L467:$L470,M467:M470)</f>
        <v>#VALUE!</v>
      </c>
      <c r="X467" s="45" t="e">
        <f>bdrateOld($D467:$D470,F467:F470,$L467:$L470,N467:N470)</f>
        <v>#VALUE!</v>
      </c>
      <c r="Y467" s="46" t="e">
        <f>bdrateOld($D467:$D470,G467:G470,$L467:$L470,O467:O470)</f>
        <v>#VALUE!</v>
      </c>
    </row>
    <row r="468" spans="1:25" x14ac:dyDescent="0.2">
      <c r="A468" s="24"/>
      <c r="B468" s="24"/>
      <c r="C468" s="24">
        <v>27</v>
      </c>
      <c r="D468" s="25"/>
      <c r="E468" s="26"/>
      <c r="F468" s="26"/>
      <c r="G468" s="26"/>
      <c r="H468" s="26"/>
      <c r="I468" s="26"/>
      <c r="J468" s="27">
        <f t="shared" si="16"/>
        <v>0</v>
      </c>
      <c r="L468" s="25"/>
      <c r="M468" s="26"/>
      <c r="N468" s="26"/>
      <c r="O468" s="26"/>
      <c r="P468" s="26"/>
      <c r="Q468" s="26"/>
      <c r="R468" s="27">
        <f t="shared" si="17"/>
        <v>0</v>
      </c>
      <c r="S468" s="20"/>
      <c r="T468" s="31"/>
      <c r="U468" s="32"/>
      <c r="V468" s="32"/>
      <c r="W468" s="31"/>
      <c r="X468" s="32"/>
      <c r="Y468" s="33"/>
    </row>
    <row r="469" spans="1:25" x14ac:dyDescent="0.2">
      <c r="A469" s="24"/>
      <c r="B469" s="24"/>
      <c r="C469" s="24">
        <v>32</v>
      </c>
      <c r="D469" s="25"/>
      <c r="E469" s="26"/>
      <c r="F469" s="26"/>
      <c r="G469" s="26"/>
      <c r="H469" s="26"/>
      <c r="I469" s="26"/>
      <c r="J469" s="27">
        <f t="shared" si="16"/>
        <v>0</v>
      </c>
      <c r="L469" s="25"/>
      <c r="M469" s="26"/>
      <c r="N469" s="26"/>
      <c r="O469" s="26"/>
      <c r="P469" s="26"/>
      <c r="Q469" s="26"/>
      <c r="R469" s="27">
        <f t="shared" si="17"/>
        <v>0</v>
      </c>
      <c r="S469" s="20"/>
      <c r="T469" s="31"/>
      <c r="U469" s="32"/>
      <c r="V469" s="32"/>
      <c r="W469" s="31"/>
      <c r="X469" s="32"/>
      <c r="Y469" s="33"/>
    </row>
    <row r="470" spans="1:25" ht="12.75" thickBot="1" x14ac:dyDescent="0.25">
      <c r="A470" s="34"/>
      <c r="B470" s="34"/>
      <c r="C470" s="34">
        <v>37</v>
      </c>
      <c r="D470" s="35"/>
      <c r="E470" s="36"/>
      <c r="F470" s="36"/>
      <c r="G470" s="36"/>
      <c r="H470" s="36"/>
      <c r="I470" s="36"/>
      <c r="J470" s="37">
        <f t="shared" si="16"/>
        <v>0</v>
      </c>
      <c r="L470" s="35"/>
      <c r="M470" s="36"/>
      <c r="N470" s="36"/>
      <c r="O470" s="36"/>
      <c r="P470" s="36"/>
      <c r="Q470" s="36"/>
      <c r="R470" s="37">
        <f t="shared" si="17"/>
        <v>0</v>
      </c>
      <c r="S470" s="20"/>
      <c r="T470" s="41"/>
      <c r="U470" s="42"/>
      <c r="V470" s="42"/>
      <c r="W470" s="41"/>
      <c r="X470" s="42"/>
      <c r="Y470" s="43"/>
    </row>
  </sheetData>
  <mergeCells count="4">
    <mergeCell ref="D1:J1"/>
    <mergeCell ref="L1:R1"/>
    <mergeCell ref="T1:V1"/>
    <mergeCell ref="W1:Y1"/>
  </mergeCells>
  <phoneticPr fontId="2" type="noConversion"/>
  <conditionalFormatting sqref="T4:V54 U3:V3">
    <cfRule type="cellIs" dxfId="2471" priority="1081" operator="greaterThan">
      <formula>0.03</formula>
    </cfRule>
    <cfRule type="cellIs" dxfId="2470" priority="1082" stopIfTrue="1" operator="lessThan">
      <formula>-0.03</formula>
    </cfRule>
  </conditionalFormatting>
  <conditionalFormatting sqref="W3">
    <cfRule type="cellIs" dxfId="2469" priority="1079" operator="greaterThan">
      <formula>0.03</formula>
    </cfRule>
    <cfRule type="cellIs" dxfId="2468" priority="1080" stopIfTrue="1" operator="lessThan">
      <formula>-0.03</formula>
    </cfRule>
  </conditionalFormatting>
  <conditionalFormatting sqref="X3">
    <cfRule type="cellIs" dxfId="2467" priority="1077" operator="greaterThan">
      <formula>0.03</formula>
    </cfRule>
    <cfRule type="cellIs" dxfId="2466" priority="1078" stopIfTrue="1" operator="lessThan">
      <formula>-0.03</formula>
    </cfRule>
  </conditionalFormatting>
  <conditionalFormatting sqref="Y3">
    <cfRule type="cellIs" dxfId="2465" priority="1075" operator="greaterThan">
      <formula>0.03</formula>
    </cfRule>
    <cfRule type="cellIs" dxfId="2464" priority="1076" stopIfTrue="1" operator="lessThan">
      <formula>-0.03</formula>
    </cfRule>
  </conditionalFormatting>
  <conditionalFormatting sqref="W7">
    <cfRule type="cellIs" dxfId="2463" priority="1073" operator="greaterThan">
      <formula>0.03</formula>
    </cfRule>
    <cfRule type="cellIs" dxfId="2462" priority="1074" stopIfTrue="1" operator="lessThan">
      <formula>-0.03</formula>
    </cfRule>
  </conditionalFormatting>
  <conditionalFormatting sqref="X7">
    <cfRule type="cellIs" dxfId="2461" priority="1071" operator="greaterThan">
      <formula>0.03</formula>
    </cfRule>
    <cfRule type="cellIs" dxfId="2460" priority="1072" stopIfTrue="1" operator="lessThan">
      <formula>-0.03</formula>
    </cfRule>
  </conditionalFormatting>
  <conditionalFormatting sqref="Y7">
    <cfRule type="cellIs" dxfId="2459" priority="1069" operator="greaterThan">
      <formula>0.03</formula>
    </cfRule>
    <cfRule type="cellIs" dxfId="2458" priority="1070" stopIfTrue="1" operator="lessThan">
      <formula>-0.03</formula>
    </cfRule>
  </conditionalFormatting>
  <conditionalFormatting sqref="W11">
    <cfRule type="cellIs" dxfId="2457" priority="1067" operator="greaterThan">
      <formula>0.03</formula>
    </cfRule>
    <cfRule type="cellIs" dxfId="2456" priority="1068" stopIfTrue="1" operator="lessThan">
      <formula>-0.03</formula>
    </cfRule>
  </conditionalFormatting>
  <conditionalFormatting sqref="X11">
    <cfRule type="cellIs" dxfId="2455" priority="1065" operator="greaterThan">
      <formula>0.03</formula>
    </cfRule>
    <cfRule type="cellIs" dxfId="2454" priority="1066" stopIfTrue="1" operator="lessThan">
      <formula>-0.03</formula>
    </cfRule>
  </conditionalFormatting>
  <conditionalFormatting sqref="Y11">
    <cfRule type="cellIs" dxfId="2453" priority="1063" operator="greaterThan">
      <formula>0.03</formula>
    </cfRule>
    <cfRule type="cellIs" dxfId="2452" priority="1064" stopIfTrue="1" operator="lessThan">
      <formula>-0.03</formula>
    </cfRule>
  </conditionalFormatting>
  <conditionalFormatting sqref="W15">
    <cfRule type="cellIs" dxfId="2451" priority="1061" operator="greaterThan">
      <formula>0.03</formula>
    </cfRule>
    <cfRule type="cellIs" dxfId="2450" priority="1062" stopIfTrue="1" operator="lessThan">
      <formula>-0.03</formula>
    </cfRule>
  </conditionalFormatting>
  <conditionalFormatting sqref="X15">
    <cfRule type="cellIs" dxfId="2449" priority="1059" operator="greaterThan">
      <formula>0.03</formula>
    </cfRule>
    <cfRule type="cellIs" dxfId="2448" priority="1060" stopIfTrue="1" operator="lessThan">
      <formula>-0.03</formula>
    </cfRule>
  </conditionalFormatting>
  <conditionalFormatting sqref="Y15">
    <cfRule type="cellIs" dxfId="2447" priority="1057" operator="greaterThan">
      <formula>0.03</formula>
    </cfRule>
    <cfRule type="cellIs" dxfId="2446" priority="1058" stopIfTrue="1" operator="lessThan">
      <formula>-0.03</formula>
    </cfRule>
  </conditionalFormatting>
  <conditionalFormatting sqref="W19">
    <cfRule type="cellIs" dxfId="2445" priority="1055" operator="greaterThan">
      <formula>0.03</formula>
    </cfRule>
    <cfRule type="cellIs" dxfId="2444" priority="1056" stopIfTrue="1" operator="lessThan">
      <formula>-0.03</formula>
    </cfRule>
  </conditionalFormatting>
  <conditionalFormatting sqref="X19">
    <cfRule type="cellIs" dxfId="2443" priority="1053" operator="greaterThan">
      <formula>0.03</formula>
    </cfRule>
    <cfRule type="cellIs" dxfId="2442" priority="1054" stopIfTrue="1" operator="lessThan">
      <formula>-0.03</formula>
    </cfRule>
  </conditionalFormatting>
  <conditionalFormatting sqref="Y19">
    <cfRule type="cellIs" dxfId="2441" priority="1051" operator="greaterThan">
      <formula>0.03</formula>
    </cfRule>
    <cfRule type="cellIs" dxfId="2440" priority="1052" stopIfTrue="1" operator="lessThan">
      <formula>-0.03</formula>
    </cfRule>
  </conditionalFormatting>
  <conditionalFormatting sqref="W23">
    <cfRule type="cellIs" dxfId="2439" priority="1049" operator="greaterThan">
      <formula>0.03</formula>
    </cfRule>
    <cfRule type="cellIs" dxfId="2438" priority="1050" stopIfTrue="1" operator="lessThan">
      <formula>-0.03</formula>
    </cfRule>
  </conditionalFormatting>
  <conditionalFormatting sqref="X23">
    <cfRule type="cellIs" dxfId="2437" priority="1047" operator="greaterThan">
      <formula>0.03</formula>
    </cfRule>
    <cfRule type="cellIs" dxfId="2436" priority="1048" stopIfTrue="1" operator="lessThan">
      <formula>-0.03</formula>
    </cfRule>
  </conditionalFormatting>
  <conditionalFormatting sqref="Y23">
    <cfRule type="cellIs" dxfId="2435" priority="1045" operator="greaterThan">
      <formula>0.03</formula>
    </cfRule>
    <cfRule type="cellIs" dxfId="2434" priority="1046" stopIfTrue="1" operator="lessThan">
      <formula>-0.03</formula>
    </cfRule>
  </conditionalFormatting>
  <conditionalFormatting sqref="W27">
    <cfRule type="cellIs" dxfId="2433" priority="1043" operator="greaterThan">
      <formula>0.03</formula>
    </cfRule>
    <cfRule type="cellIs" dxfId="2432" priority="1044" stopIfTrue="1" operator="lessThan">
      <formula>-0.03</formula>
    </cfRule>
  </conditionalFormatting>
  <conditionalFormatting sqref="X27">
    <cfRule type="cellIs" dxfId="2431" priority="1041" operator="greaterThan">
      <formula>0.03</formula>
    </cfRule>
    <cfRule type="cellIs" dxfId="2430" priority="1042" stopIfTrue="1" operator="lessThan">
      <formula>-0.03</formula>
    </cfRule>
  </conditionalFormatting>
  <conditionalFormatting sqref="Y27">
    <cfRule type="cellIs" dxfId="2429" priority="1039" operator="greaterThan">
      <formula>0.03</formula>
    </cfRule>
    <cfRule type="cellIs" dxfId="2428" priority="1040" stopIfTrue="1" operator="lessThan">
      <formula>-0.03</formula>
    </cfRule>
  </conditionalFormatting>
  <conditionalFormatting sqref="W31">
    <cfRule type="cellIs" dxfId="2427" priority="1037" operator="greaterThan">
      <formula>0.03</formula>
    </cfRule>
    <cfRule type="cellIs" dxfId="2426" priority="1038" stopIfTrue="1" operator="lessThan">
      <formula>-0.03</formula>
    </cfRule>
  </conditionalFormatting>
  <conditionalFormatting sqref="X31">
    <cfRule type="cellIs" dxfId="2425" priority="1035" operator="greaterThan">
      <formula>0.03</formula>
    </cfRule>
    <cfRule type="cellIs" dxfId="2424" priority="1036" stopIfTrue="1" operator="lessThan">
      <formula>-0.03</formula>
    </cfRule>
  </conditionalFormatting>
  <conditionalFormatting sqref="Y31">
    <cfRule type="cellIs" dxfId="2423" priority="1033" operator="greaterThan">
      <formula>0.03</formula>
    </cfRule>
    <cfRule type="cellIs" dxfId="2422" priority="1034" stopIfTrue="1" operator="lessThan">
      <formula>-0.03</formula>
    </cfRule>
  </conditionalFormatting>
  <conditionalFormatting sqref="W35">
    <cfRule type="cellIs" dxfId="2421" priority="1031" operator="greaterThan">
      <formula>0.03</formula>
    </cfRule>
    <cfRule type="cellIs" dxfId="2420" priority="1032" stopIfTrue="1" operator="lessThan">
      <formula>-0.03</formula>
    </cfRule>
  </conditionalFormatting>
  <conditionalFormatting sqref="X35">
    <cfRule type="cellIs" dxfId="2419" priority="1029" operator="greaterThan">
      <formula>0.03</formula>
    </cfRule>
    <cfRule type="cellIs" dxfId="2418" priority="1030" stopIfTrue="1" operator="lessThan">
      <formula>-0.03</formula>
    </cfRule>
  </conditionalFormatting>
  <conditionalFormatting sqref="Y35">
    <cfRule type="cellIs" dxfId="2417" priority="1027" operator="greaterThan">
      <formula>0.03</formula>
    </cfRule>
    <cfRule type="cellIs" dxfId="2416" priority="1028" stopIfTrue="1" operator="lessThan">
      <formula>-0.03</formula>
    </cfRule>
  </conditionalFormatting>
  <conditionalFormatting sqref="W39">
    <cfRule type="cellIs" dxfId="2415" priority="1025" operator="greaterThan">
      <formula>0.03</formula>
    </cfRule>
    <cfRule type="cellIs" dxfId="2414" priority="1026" stopIfTrue="1" operator="lessThan">
      <formula>-0.03</formula>
    </cfRule>
  </conditionalFormatting>
  <conditionalFormatting sqref="X39">
    <cfRule type="cellIs" dxfId="2413" priority="1023" operator="greaterThan">
      <formula>0.03</formula>
    </cfRule>
    <cfRule type="cellIs" dxfId="2412" priority="1024" stopIfTrue="1" operator="lessThan">
      <formula>-0.03</formula>
    </cfRule>
  </conditionalFormatting>
  <conditionalFormatting sqref="Y39">
    <cfRule type="cellIs" dxfId="2411" priority="1021" operator="greaterThan">
      <formula>0.03</formula>
    </cfRule>
    <cfRule type="cellIs" dxfId="2410" priority="1022" stopIfTrue="1" operator="lessThan">
      <formula>-0.03</formula>
    </cfRule>
  </conditionalFormatting>
  <conditionalFormatting sqref="W43">
    <cfRule type="cellIs" dxfId="2409" priority="1019" operator="greaterThan">
      <formula>0.03</formula>
    </cfRule>
    <cfRule type="cellIs" dxfId="2408" priority="1020" stopIfTrue="1" operator="lessThan">
      <formula>-0.03</formula>
    </cfRule>
  </conditionalFormatting>
  <conditionalFormatting sqref="X43">
    <cfRule type="cellIs" dxfId="2407" priority="1017" operator="greaterThan">
      <formula>0.03</formula>
    </cfRule>
    <cfRule type="cellIs" dxfId="2406" priority="1018" stopIfTrue="1" operator="lessThan">
      <formula>-0.03</formula>
    </cfRule>
  </conditionalFormatting>
  <conditionalFormatting sqref="Y43">
    <cfRule type="cellIs" dxfId="2405" priority="1015" operator="greaterThan">
      <formula>0.03</formula>
    </cfRule>
    <cfRule type="cellIs" dxfId="2404" priority="1016" stopIfTrue="1" operator="lessThan">
      <formula>-0.03</formula>
    </cfRule>
  </conditionalFormatting>
  <conditionalFormatting sqref="W47">
    <cfRule type="cellIs" dxfId="2403" priority="1013" operator="greaterThan">
      <formula>0.03</formula>
    </cfRule>
    <cfRule type="cellIs" dxfId="2402" priority="1014" stopIfTrue="1" operator="lessThan">
      <formula>-0.03</formula>
    </cfRule>
  </conditionalFormatting>
  <conditionalFormatting sqref="X47">
    <cfRule type="cellIs" dxfId="2401" priority="1011" operator="greaterThan">
      <formula>0.03</formula>
    </cfRule>
    <cfRule type="cellIs" dxfId="2400" priority="1012" stopIfTrue="1" operator="lessThan">
      <formula>-0.03</formula>
    </cfRule>
  </conditionalFormatting>
  <conditionalFormatting sqref="Y47">
    <cfRule type="cellIs" dxfId="2399" priority="1009" operator="greaterThan">
      <formula>0.03</formula>
    </cfRule>
    <cfRule type="cellIs" dxfId="2398" priority="1010" stopIfTrue="1" operator="lessThan">
      <formula>-0.03</formula>
    </cfRule>
  </conditionalFormatting>
  <conditionalFormatting sqref="W51">
    <cfRule type="cellIs" dxfId="2397" priority="1007" operator="greaterThan">
      <formula>0.03</formula>
    </cfRule>
    <cfRule type="cellIs" dxfId="2396" priority="1008" stopIfTrue="1" operator="lessThan">
      <formula>-0.03</formula>
    </cfRule>
  </conditionalFormatting>
  <conditionalFormatting sqref="X51">
    <cfRule type="cellIs" dxfId="2395" priority="1005" operator="greaterThan">
      <formula>0.03</formula>
    </cfRule>
    <cfRule type="cellIs" dxfId="2394" priority="1006" stopIfTrue="1" operator="lessThan">
      <formula>-0.03</formula>
    </cfRule>
  </conditionalFormatting>
  <conditionalFormatting sqref="Y51">
    <cfRule type="cellIs" dxfId="2393" priority="1003" operator="greaterThan">
      <formula>0.03</formula>
    </cfRule>
    <cfRule type="cellIs" dxfId="2392" priority="1004" stopIfTrue="1" operator="lessThan">
      <formula>-0.03</formula>
    </cfRule>
  </conditionalFormatting>
  <conditionalFormatting sqref="W6:X6">
    <cfRule type="cellIs" dxfId="2391" priority="957" operator="greaterThan">
      <formula>0.03</formula>
    </cfRule>
    <cfRule type="cellIs" dxfId="2390" priority="958" stopIfTrue="1" operator="lessThan">
      <formula>-0.03</formula>
    </cfRule>
  </conditionalFormatting>
  <conditionalFormatting sqref="W10:X10">
    <cfRule type="cellIs" dxfId="2389" priority="955" operator="greaterThan">
      <formula>0.03</formula>
    </cfRule>
    <cfRule type="cellIs" dxfId="2388" priority="956" stopIfTrue="1" operator="lessThan">
      <formula>-0.03</formula>
    </cfRule>
  </conditionalFormatting>
  <conditionalFormatting sqref="W14:X14">
    <cfRule type="cellIs" dxfId="2387" priority="953" operator="greaterThan">
      <formula>0.03</formula>
    </cfRule>
    <cfRule type="cellIs" dxfId="2386" priority="954" stopIfTrue="1" operator="lessThan">
      <formula>-0.03</formula>
    </cfRule>
  </conditionalFormatting>
  <conditionalFormatting sqref="W18:X18">
    <cfRule type="cellIs" dxfId="2385" priority="951" operator="greaterThan">
      <formula>0.03</formula>
    </cfRule>
    <cfRule type="cellIs" dxfId="2384" priority="952" stopIfTrue="1" operator="lessThan">
      <formula>-0.03</formula>
    </cfRule>
  </conditionalFormatting>
  <conditionalFormatting sqref="W22:X22">
    <cfRule type="cellIs" dxfId="2383" priority="949" operator="greaterThan">
      <formula>0.03</formula>
    </cfRule>
    <cfRule type="cellIs" dxfId="2382" priority="950" stopIfTrue="1" operator="lessThan">
      <formula>-0.03</formula>
    </cfRule>
  </conditionalFormatting>
  <conditionalFormatting sqref="W26:X26">
    <cfRule type="cellIs" dxfId="2381" priority="947" operator="greaterThan">
      <formula>0.03</formula>
    </cfRule>
    <cfRule type="cellIs" dxfId="2380" priority="948" stopIfTrue="1" operator="lessThan">
      <formula>-0.03</formula>
    </cfRule>
  </conditionalFormatting>
  <conditionalFormatting sqref="W30:X30">
    <cfRule type="cellIs" dxfId="2379" priority="945" operator="greaterThan">
      <formula>0.03</formula>
    </cfRule>
    <cfRule type="cellIs" dxfId="2378" priority="946" stopIfTrue="1" operator="lessThan">
      <formula>-0.03</formula>
    </cfRule>
  </conditionalFormatting>
  <conditionalFormatting sqref="W34:X34">
    <cfRule type="cellIs" dxfId="2377" priority="943" operator="greaterThan">
      <formula>0.03</formula>
    </cfRule>
    <cfRule type="cellIs" dxfId="2376" priority="944" stopIfTrue="1" operator="lessThan">
      <formula>-0.03</formula>
    </cfRule>
  </conditionalFormatting>
  <conditionalFormatting sqref="W38:X38">
    <cfRule type="cellIs" dxfId="2375" priority="941" operator="greaterThan">
      <formula>0.03</formula>
    </cfRule>
    <cfRule type="cellIs" dxfId="2374" priority="942" stopIfTrue="1" operator="lessThan">
      <formula>-0.03</formula>
    </cfRule>
  </conditionalFormatting>
  <conditionalFormatting sqref="W42:X42">
    <cfRule type="cellIs" dxfId="2373" priority="939" operator="greaterThan">
      <formula>0.03</formula>
    </cfRule>
    <cfRule type="cellIs" dxfId="2372" priority="940" stopIfTrue="1" operator="lessThan">
      <formula>-0.03</formula>
    </cfRule>
  </conditionalFormatting>
  <conditionalFormatting sqref="W46:X46">
    <cfRule type="cellIs" dxfId="2371" priority="937" operator="greaterThan">
      <formula>0.03</formula>
    </cfRule>
    <cfRule type="cellIs" dxfId="2370" priority="938" stopIfTrue="1" operator="lessThan">
      <formula>-0.03</formula>
    </cfRule>
  </conditionalFormatting>
  <conditionalFormatting sqref="W50:X50">
    <cfRule type="cellIs" dxfId="2369" priority="935" operator="greaterThan">
      <formula>0.03</formula>
    </cfRule>
    <cfRule type="cellIs" dxfId="2368" priority="936" stopIfTrue="1" operator="lessThan">
      <formula>-0.03</formula>
    </cfRule>
  </conditionalFormatting>
  <conditionalFormatting sqref="W54:X54">
    <cfRule type="cellIs" dxfId="2367" priority="933" operator="greaterThan">
      <formula>0.03</formula>
    </cfRule>
    <cfRule type="cellIs" dxfId="2366" priority="934" stopIfTrue="1" operator="lessThan">
      <formula>-0.03</formula>
    </cfRule>
  </conditionalFormatting>
  <conditionalFormatting sqref="T3">
    <cfRule type="cellIs" dxfId="2365" priority="919" operator="greaterThan">
      <formula>0.03</formula>
    </cfRule>
    <cfRule type="cellIs" dxfId="2364" priority="920" stopIfTrue="1" operator="lessThan">
      <formula>-0.03</formula>
    </cfRule>
  </conditionalFormatting>
  <conditionalFormatting sqref="T56:V106 U55:V55">
    <cfRule type="cellIs" dxfId="2363" priority="863" operator="greaterThan">
      <formula>0.03</formula>
    </cfRule>
    <cfRule type="cellIs" dxfId="2362" priority="864" stopIfTrue="1" operator="lessThan">
      <formula>-0.03</formula>
    </cfRule>
  </conditionalFormatting>
  <conditionalFormatting sqref="W55">
    <cfRule type="cellIs" dxfId="2361" priority="861" operator="greaterThan">
      <formula>0.03</formula>
    </cfRule>
    <cfRule type="cellIs" dxfId="2360" priority="862" stopIfTrue="1" operator="lessThan">
      <formula>-0.03</formula>
    </cfRule>
  </conditionalFormatting>
  <conditionalFormatting sqref="X55">
    <cfRule type="cellIs" dxfId="2359" priority="859" operator="greaterThan">
      <formula>0.03</formula>
    </cfRule>
    <cfRule type="cellIs" dxfId="2358" priority="860" stopIfTrue="1" operator="lessThan">
      <formula>-0.03</formula>
    </cfRule>
  </conditionalFormatting>
  <conditionalFormatting sqref="Y55">
    <cfRule type="cellIs" dxfId="2357" priority="857" operator="greaterThan">
      <formula>0.03</formula>
    </cfRule>
    <cfRule type="cellIs" dxfId="2356" priority="858" stopIfTrue="1" operator="lessThan">
      <formula>-0.03</formula>
    </cfRule>
  </conditionalFormatting>
  <conditionalFormatting sqref="W59">
    <cfRule type="cellIs" dxfId="2355" priority="855" operator="greaterThan">
      <formula>0.03</formula>
    </cfRule>
    <cfRule type="cellIs" dxfId="2354" priority="856" stopIfTrue="1" operator="lessThan">
      <formula>-0.03</formula>
    </cfRule>
  </conditionalFormatting>
  <conditionalFormatting sqref="X59">
    <cfRule type="cellIs" dxfId="2353" priority="853" operator="greaterThan">
      <formula>0.03</formula>
    </cfRule>
    <cfRule type="cellIs" dxfId="2352" priority="854" stopIfTrue="1" operator="lessThan">
      <formula>-0.03</formula>
    </cfRule>
  </conditionalFormatting>
  <conditionalFormatting sqref="Y59">
    <cfRule type="cellIs" dxfId="2351" priority="851" operator="greaterThan">
      <formula>0.03</formula>
    </cfRule>
    <cfRule type="cellIs" dxfId="2350" priority="852" stopIfTrue="1" operator="lessThan">
      <formula>-0.03</formula>
    </cfRule>
  </conditionalFormatting>
  <conditionalFormatting sqref="W63">
    <cfRule type="cellIs" dxfId="2349" priority="849" operator="greaterThan">
      <formula>0.03</formula>
    </cfRule>
    <cfRule type="cellIs" dxfId="2348" priority="850" stopIfTrue="1" operator="lessThan">
      <formula>-0.03</formula>
    </cfRule>
  </conditionalFormatting>
  <conditionalFormatting sqref="X63">
    <cfRule type="cellIs" dxfId="2347" priority="847" operator="greaterThan">
      <formula>0.03</formula>
    </cfRule>
    <cfRule type="cellIs" dxfId="2346" priority="848" stopIfTrue="1" operator="lessThan">
      <formula>-0.03</formula>
    </cfRule>
  </conditionalFormatting>
  <conditionalFormatting sqref="Y63">
    <cfRule type="cellIs" dxfId="2345" priority="845" operator="greaterThan">
      <formula>0.03</formula>
    </cfRule>
    <cfRule type="cellIs" dxfId="2344" priority="846" stopIfTrue="1" operator="lessThan">
      <formula>-0.03</formula>
    </cfRule>
  </conditionalFormatting>
  <conditionalFormatting sqref="W67">
    <cfRule type="cellIs" dxfId="2343" priority="843" operator="greaterThan">
      <formula>0.03</formula>
    </cfRule>
    <cfRule type="cellIs" dxfId="2342" priority="844" stopIfTrue="1" operator="lessThan">
      <formula>-0.03</formula>
    </cfRule>
  </conditionalFormatting>
  <conditionalFormatting sqref="X67">
    <cfRule type="cellIs" dxfId="2341" priority="841" operator="greaterThan">
      <formula>0.03</formula>
    </cfRule>
    <cfRule type="cellIs" dxfId="2340" priority="842" stopIfTrue="1" operator="lessThan">
      <formula>-0.03</formula>
    </cfRule>
  </conditionalFormatting>
  <conditionalFormatting sqref="Y67">
    <cfRule type="cellIs" dxfId="2339" priority="839" operator="greaterThan">
      <formula>0.03</formula>
    </cfRule>
    <cfRule type="cellIs" dxfId="2338" priority="840" stopIfTrue="1" operator="lessThan">
      <formula>-0.03</formula>
    </cfRule>
  </conditionalFormatting>
  <conditionalFormatting sqref="W71">
    <cfRule type="cellIs" dxfId="2337" priority="837" operator="greaterThan">
      <formula>0.03</formula>
    </cfRule>
    <cfRule type="cellIs" dxfId="2336" priority="838" stopIfTrue="1" operator="lessThan">
      <formula>-0.03</formula>
    </cfRule>
  </conditionalFormatting>
  <conditionalFormatting sqref="X71">
    <cfRule type="cellIs" dxfId="2335" priority="835" operator="greaterThan">
      <formula>0.03</formula>
    </cfRule>
    <cfRule type="cellIs" dxfId="2334" priority="836" stopIfTrue="1" operator="lessThan">
      <formula>-0.03</formula>
    </cfRule>
  </conditionalFormatting>
  <conditionalFormatting sqref="Y71">
    <cfRule type="cellIs" dxfId="2333" priority="833" operator="greaterThan">
      <formula>0.03</formula>
    </cfRule>
    <cfRule type="cellIs" dxfId="2332" priority="834" stopIfTrue="1" operator="lessThan">
      <formula>-0.03</formula>
    </cfRule>
  </conditionalFormatting>
  <conditionalFormatting sqref="W75">
    <cfRule type="cellIs" dxfId="2331" priority="831" operator="greaterThan">
      <formula>0.03</formula>
    </cfRule>
    <cfRule type="cellIs" dxfId="2330" priority="832" stopIfTrue="1" operator="lessThan">
      <formula>-0.03</formula>
    </cfRule>
  </conditionalFormatting>
  <conditionalFormatting sqref="X75">
    <cfRule type="cellIs" dxfId="2329" priority="829" operator="greaterThan">
      <formula>0.03</formula>
    </cfRule>
    <cfRule type="cellIs" dxfId="2328" priority="830" stopIfTrue="1" operator="lessThan">
      <formula>-0.03</formula>
    </cfRule>
  </conditionalFormatting>
  <conditionalFormatting sqref="Y75">
    <cfRule type="cellIs" dxfId="2327" priority="827" operator="greaterThan">
      <formula>0.03</formula>
    </cfRule>
    <cfRule type="cellIs" dxfId="2326" priority="828" stopIfTrue="1" operator="lessThan">
      <formula>-0.03</formula>
    </cfRule>
  </conditionalFormatting>
  <conditionalFormatting sqref="W79">
    <cfRule type="cellIs" dxfId="2325" priority="825" operator="greaterThan">
      <formula>0.03</formula>
    </cfRule>
    <cfRule type="cellIs" dxfId="2324" priority="826" stopIfTrue="1" operator="lessThan">
      <formula>-0.03</formula>
    </cfRule>
  </conditionalFormatting>
  <conditionalFormatting sqref="X79">
    <cfRule type="cellIs" dxfId="2323" priority="823" operator="greaterThan">
      <formula>0.03</formula>
    </cfRule>
    <cfRule type="cellIs" dxfId="2322" priority="824" stopIfTrue="1" operator="lessThan">
      <formula>-0.03</formula>
    </cfRule>
  </conditionalFormatting>
  <conditionalFormatting sqref="Y79">
    <cfRule type="cellIs" dxfId="2321" priority="821" operator="greaterThan">
      <formula>0.03</formula>
    </cfRule>
    <cfRule type="cellIs" dxfId="2320" priority="822" stopIfTrue="1" operator="lessThan">
      <formula>-0.03</formula>
    </cfRule>
  </conditionalFormatting>
  <conditionalFormatting sqref="W83">
    <cfRule type="cellIs" dxfId="2319" priority="819" operator="greaterThan">
      <formula>0.03</formula>
    </cfRule>
    <cfRule type="cellIs" dxfId="2318" priority="820" stopIfTrue="1" operator="lessThan">
      <formula>-0.03</formula>
    </cfRule>
  </conditionalFormatting>
  <conditionalFormatting sqref="X83">
    <cfRule type="cellIs" dxfId="2317" priority="817" operator="greaterThan">
      <formula>0.03</formula>
    </cfRule>
    <cfRule type="cellIs" dxfId="2316" priority="818" stopIfTrue="1" operator="lessThan">
      <formula>-0.03</formula>
    </cfRule>
  </conditionalFormatting>
  <conditionalFormatting sqref="Y83">
    <cfRule type="cellIs" dxfId="2315" priority="815" operator="greaterThan">
      <formula>0.03</formula>
    </cfRule>
    <cfRule type="cellIs" dxfId="2314" priority="816" stopIfTrue="1" operator="lessThan">
      <formula>-0.03</formula>
    </cfRule>
  </conditionalFormatting>
  <conditionalFormatting sqref="W87">
    <cfRule type="cellIs" dxfId="2313" priority="813" operator="greaterThan">
      <formula>0.03</formula>
    </cfRule>
    <cfRule type="cellIs" dxfId="2312" priority="814" stopIfTrue="1" operator="lessThan">
      <formula>-0.03</formula>
    </cfRule>
  </conditionalFormatting>
  <conditionalFormatting sqref="X87">
    <cfRule type="cellIs" dxfId="2311" priority="811" operator="greaterThan">
      <formula>0.03</formula>
    </cfRule>
    <cfRule type="cellIs" dxfId="2310" priority="812" stopIfTrue="1" operator="lessThan">
      <formula>-0.03</formula>
    </cfRule>
  </conditionalFormatting>
  <conditionalFormatting sqref="Y87">
    <cfRule type="cellIs" dxfId="2309" priority="809" operator="greaterThan">
      <formula>0.03</formula>
    </cfRule>
    <cfRule type="cellIs" dxfId="2308" priority="810" stopIfTrue="1" operator="lessThan">
      <formula>-0.03</formula>
    </cfRule>
  </conditionalFormatting>
  <conditionalFormatting sqref="W91">
    <cfRule type="cellIs" dxfId="2307" priority="807" operator="greaterThan">
      <formula>0.03</formula>
    </cfRule>
    <cfRule type="cellIs" dxfId="2306" priority="808" stopIfTrue="1" operator="lessThan">
      <formula>-0.03</formula>
    </cfRule>
  </conditionalFormatting>
  <conditionalFormatting sqref="X91">
    <cfRule type="cellIs" dxfId="2305" priority="805" operator="greaterThan">
      <formula>0.03</formula>
    </cfRule>
    <cfRule type="cellIs" dxfId="2304" priority="806" stopIfTrue="1" operator="lessThan">
      <formula>-0.03</formula>
    </cfRule>
  </conditionalFormatting>
  <conditionalFormatting sqref="Y91">
    <cfRule type="cellIs" dxfId="2303" priority="803" operator="greaterThan">
      <formula>0.03</formula>
    </cfRule>
    <cfRule type="cellIs" dxfId="2302" priority="804" stopIfTrue="1" operator="lessThan">
      <formula>-0.03</formula>
    </cfRule>
  </conditionalFormatting>
  <conditionalFormatting sqref="W95">
    <cfRule type="cellIs" dxfId="2301" priority="801" operator="greaterThan">
      <formula>0.03</formula>
    </cfRule>
    <cfRule type="cellIs" dxfId="2300" priority="802" stopIfTrue="1" operator="lessThan">
      <formula>-0.03</formula>
    </cfRule>
  </conditionalFormatting>
  <conditionalFormatting sqref="X95">
    <cfRule type="cellIs" dxfId="2299" priority="799" operator="greaterThan">
      <formula>0.03</formula>
    </cfRule>
    <cfRule type="cellIs" dxfId="2298" priority="800" stopIfTrue="1" operator="lessThan">
      <formula>-0.03</formula>
    </cfRule>
  </conditionalFormatting>
  <conditionalFormatting sqref="Y95">
    <cfRule type="cellIs" dxfId="2297" priority="797" operator="greaterThan">
      <formula>0.03</formula>
    </cfRule>
    <cfRule type="cellIs" dxfId="2296" priority="798" stopIfTrue="1" operator="lessThan">
      <formula>-0.03</formula>
    </cfRule>
  </conditionalFormatting>
  <conditionalFormatting sqref="W99">
    <cfRule type="cellIs" dxfId="2295" priority="795" operator="greaterThan">
      <formula>0.03</formula>
    </cfRule>
    <cfRule type="cellIs" dxfId="2294" priority="796" stopIfTrue="1" operator="lessThan">
      <formula>-0.03</formula>
    </cfRule>
  </conditionalFormatting>
  <conditionalFormatting sqref="X99">
    <cfRule type="cellIs" dxfId="2293" priority="793" operator="greaterThan">
      <formula>0.03</formula>
    </cfRule>
    <cfRule type="cellIs" dxfId="2292" priority="794" stopIfTrue="1" operator="lessThan">
      <formula>-0.03</formula>
    </cfRule>
  </conditionalFormatting>
  <conditionalFormatting sqref="Y99">
    <cfRule type="cellIs" dxfId="2291" priority="791" operator="greaterThan">
      <formula>0.03</formula>
    </cfRule>
    <cfRule type="cellIs" dxfId="2290" priority="792" stopIfTrue="1" operator="lessThan">
      <formula>-0.03</formula>
    </cfRule>
  </conditionalFormatting>
  <conditionalFormatting sqref="W103">
    <cfRule type="cellIs" dxfId="2289" priority="789" operator="greaterThan">
      <formula>0.03</formula>
    </cfRule>
    <cfRule type="cellIs" dxfId="2288" priority="790" stopIfTrue="1" operator="lessThan">
      <formula>-0.03</formula>
    </cfRule>
  </conditionalFormatting>
  <conditionalFormatting sqref="X103">
    <cfRule type="cellIs" dxfId="2287" priority="787" operator="greaterThan">
      <formula>0.03</formula>
    </cfRule>
    <cfRule type="cellIs" dxfId="2286" priority="788" stopIfTrue="1" operator="lessThan">
      <formula>-0.03</formula>
    </cfRule>
  </conditionalFormatting>
  <conditionalFormatting sqref="Y103">
    <cfRule type="cellIs" dxfId="2285" priority="785" operator="greaterThan">
      <formula>0.03</formula>
    </cfRule>
    <cfRule type="cellIs" dxfId="2284" priority="786" stopIfTrue="1" operator="lessThan">
      <formula>-0.03</formula>
    </cfRule>
  </conditionalFormatting>
  <conditionalFormatting sqref="W58:X58">
    <cfRule type="cellIs" dxfId="2283" priority="783" operator="greaterThan">
      <formula>0.03</formula>
    </cfRule>
    <cfRule type="cellIs" dxfId="2282" priority="784" stopIfTrue="1" operator="lessThan">
      <formula>-0.03</formula>
    </cfRule>
  </conditionalFormatting>
  <conditionalFormatting sqref="W62:X62">
    <cfRule type="cellIs" dxfId="2281" priority="781" operator="greaterThan">
      <formula>0.03</formula>
    </cfRule>
    <cfRule type="cellIs" dxfId="2280" priority="782" stopIfTrue="1" operator="lessThan">
      <formula>-0.03</formula>
    </cfRule>
  </conditionalFormatting>
  <conditionalFormatting sqref="W66:X66">
    <cfRule type="cellIs" dxfId="2279" priority="779" operator="greaterThan">
      <formula>0.03</formula>
    </cfRule>
    <cfRule type="cellIs" dxfId="2278" priority="780" stopIfTrue="1" operator="lessThan">
      <formula>-0.03</formula>
    </cfRule>
  </conditionalFormatting>
  <conditionalFormatting sqref="W70:X70">
    <cfRule type="cellIs" dxfId="2277" priority="777" operator="greaterThan">
      <formula>0.03</formula>
    </cfRule>
    <cfRule type="cellIs" dxfId="2276" priority="778" stopIfTrue="1" operator="lessThan">
      <formula>-0.03</formula>
    </cfRule>
  </conditionalFormatting>
  <conditionalFormatting sqref="W74:X74">
    <cfRule type="cellIs" dxfId="2275" priority="775" operator="greaterThan">
      <formula>0.03</formula>
    </cfRule>
    <cfRule type="cellIs" dxfId="2274" priority="776" stopIfTrue="1" operator="lessThan">
      <formula>-0.03</formula>
    </cfRule>
  </conditionalFormatting>
  <conditionalFormatting sqref="W78:X78">
    <cfRule type="cellIs" dxfId="2273" priority="773" operator="greaterThan">
      <formula>0.03</formula>
    </cfRule>
    <cfRule type="cellIs" dxfId="2272" priority="774" stopIfTrue="1" operator="lessThan">
      <formula>-0.03</formula>
    </cfRule>
  </conditionalFormatting>
  <conditionalFormatting sqref="W82:X82">
    <cfRule type="cellIs" dxfId="2271" priority="771" operator="greaterThan">
      <formula>0.03</formula>
    </cfRule>
    <cfRule type="cellIs" dxfId="2270" priority="772" stopIfTrue="1" operator="lessThan">
      <formula>-0.03</formula>
    </cfRule>
  </conditionalFormatting>
  <conditionalFormatting sqref="W86:X86">
    <cfRule type="cellIs" dxfId="2269" priority="769" operator="greaterThan">
      <formula>0.03</formula>
    </cfRule>
    <cfRule type="cellIs" dxfId="2268" priority="770" stopIfTrue="1" operator="lessThan">
      <formula>-0.03</formula>
    </cfRule>
  </conditionalFormatting>
  <conditionalFormatting sqref="W90:X90">
    <cfRule type="cellIs" dxfId="2267" priority="767" operator="greaterThan">
      <formula>0.03</formula>
    </cfRule>
    <cfRule type="cellIs" dxfId="2266" priority="768" stopIfTrue="1" operator="lessThan">
      <formula>-0.03</formula>
    </cfRule>
  </conditionalFormatting>
  <conditionalFormatting sqref="W94:X94">
    <cfRule type="cellIs" dxfId="2265" priority="765" operator="greaterThan">
      <formula>0.03</formula>
    </cfRule>
    <cfRule type="cellIs" dxfId="2264" priority="766" stopIfTrue="1" operator="lessThan">
      <formula>-0.03</formula>
    </cfRule>
  </conditionalFormatting>
  <conditionalFormatting sqref="W98:X98">
    <cfRule type="cellIs" dxfId="2263" priority="763" operator="greaterThan">
      <formula>0.03</formula>
    </cfRule>
    <cfRule type="cellIs" dxfId="2262" priority="764" stopIfTrue="1" operator="lessThan">
      <formula>-0.03</formula>
    </cfRule>
  </conditionalFormatting>
  <conditionalFormatting sqref="W102:X102">
    <cfRule type="cellIs" dxfId="2261" priority="761" operator="greaterThan">
      <formula>0.03</formula>
    </cfRule>
    <cfRule type="cellIs" dxfId="2260" priority="762" stopIfTrue="1" operator="lessThan">
      <formula>-0.03</formula>
    </cfRule>
  </conditionalFormatting>
  <conditionalFormatting sqref="W106:X106">
    <cfRule type="cellIs" dxfId="2259" priority="759" operator="greaterThan">
      <formula>0.03</formula>
    </cfRule>
    <cfRule type="cellIs" dxfId="2258" priority="760" stopIfTrue="1" operator="lessThan">
      <formula>-0.03</formula>
    </cfRule>
  </conditionalFormatting>
  <conditionalFormatting sqref="T55">
    <cfRule type="cellIs" dxfId="2257" priority="757" operator="greaterThan">
      <formula>0.03</formula>
    </cfRule>
    <cfRule type="cellIs" dxfId="2256" priority="758" stopIfTrue="1" operator="lessThan">
      <formula>-0.03</formula>
    </cfRule>
  </conditionalFormatting>
  <conditionalFormatting sqref="T108:V158 U107:V107">
    <cfRule type="cellIs" dxfId="2255" priority="755" operator="greaterThan">
      <formula>0.03</formula>
    </cfRule>
    <cfRule type="cellIs" dxfId="2254" priority="756" stopIfTrue="1" operator="lessThan">
      <formula>-0.03</formula>
    </cfRule>
  </conditionalFormatting>
  <conditionalFormatting sqref="W107">
    <cfRule type="cellIs" dxfId="2253" priority="753" operator="greaterThan">
      <formula>0.03</formula>
    </cfRule>
    <cfRule type="cellIs" dxfId="2252" priority="754" stopIfTrue="1" operator="lessThan">
      <formula>-0.03</formula>
    </cfRule>
  </conditionalFormatting>
  <conditionalFormatting sqref="X107">
    <cfRule type="cellIs" dxfId="2251" priority="751" operator="greaterThan">
      <formula>0.03</formula>
    </cfRule>
    <cfRule type="cellIs" dxfId="2250" priority="752" stopIfTrue="1" operator="lessThan">
      <formula>-0.03</formula>
    </cfRule>
  </conditionalFormatting>
  <conditionalFormatting sqref="Y107">
    <cfRule type="cellIs" dxfId="2249" priority="749" operator="greaterThan">
      <formula>0.03</formula>
    </cfRule>
    <cfRule type="cellIs" dxfId="2248" priority="750" stopIfTrue="1" operator="lessThan">
      <formula>-0.03</formula>
    </cfRule>
  </conditionalFormatting>
  <conditionalFormatting sqref="W111">
    <cfRule type="cellIs" dxfId="2247" priority="747" operator="greaterThan">
      <formula>0.03</formula>
    </cfRule>
    <cfRule type="cellIs" dxfId="2246" priority="748" stopIfTrue="1" operator="lessThan">
      <formula>-0.03</formula>
    </cfRule>
  </conditionalFormatting>
  <conditionalFormatting sqref="X111">
    <cfRule type="cellIs" dxfId="2245" priority="745" operator="greaterThan">
      <formula>0.03</formula>
    </cfRule>
    <cfRule type="cellIs" dxfId="2244" priority="746" stopIfTrue="1" operator="lessThan">
      <formula>-0.03</formula>
    </cfRule>
  </conditionalFormatting>
  <conditionalFormatting sqref="Y111">
    <cfRule type="cellIs" dxfId="2243" priority="743" operator="greaterThan">
      <formula>0.03</formula>
    </cfRule>
    <cfRule type="cellIs" dxfId="2242" priority="744" stopIfTrue="1" operator="lessThan">
      <formula>-0.03</formula>
    </cfRule>
  </conditionalFormatting>
  <conditionalFormatting sqref="W115">
    <cfRule type="cellIs" dxfId="2241" priority="741" operator="greaterThan">
      <formula>0.03</formula>
    </cfRule>
    <cfRule type="cellIs" dxfId="2240" priority="742" stopIfTrue="1" operator="lessThan">
      <formula>-0.03</formula>
    </cfRule>
  </conditionalFormatting>
  <conditionalFormatting sqref="X115">
    <cfRule type="cellIs" dxfId="2239" priority="739" operator="greaterThan">
      <formula>0.03</formula>
    </cfRule>
    <cfRule type="cellIs" dxfId="2238" priority="740" stopIfTrue="1" operator="lessThan">
      <formula>-0.03</formula>
    </cfRule>
  </conditionalFormatting>
  <conditionalFormatting sqref="Y115">
    <cfRule type="cellIs" dxfId="2237" priority="737" operator="greaterThan">
      <formula>0.03</formula>
    </cfRule>
    <cfRule type="cellIs" dxfId="2236" priority="738" stopIfTrue="1" operator="lessThan">
      <formula>-0.03</formula>
    </cfRule>
  </conditionalFormatting>
  <conditionalFormatting sqref="W119">
    <cfRule type="cellIs" dxfId="2235" priority="735" operator="greaterThan">
      <formula>0.03</formula>
    </cfRule>
    <cfRule type="cellIs" dxfId="2234" priority="736" stopIfTrue="1" operator="lessThan">
      <formula>-0.03</formula>
    </cfRule>
  </conditionalFormatting>
  <conditionalFormatting sqref="X119">
    <cfRule type="cellIs" dxfId="2233" priority="733" operator="greaterThan">
      <formula>0.03</formula>
    </cfRule>
    <cfRule type="cellIs" dxfId="2232" priority="734" stopIfTrue="1" operator="lessThan">
      <formula>-0.03</formula>
    </cfRule>
  </conditionalFormatting>
  <conditionalFormatting sqref="Y119">
    <cfRule type="cellIs" dxfId="2231" priority="731" operator="greaterThan">
      <formula>0.03</formula>
    </cfRule>
    <cfRule type="cellIs" dxfId="2230" priority="732" stopIfTrue="1" operator="lessThan">
      <formula>-0.03</formula>
    </cfRule>
  </conditionalFormatting>
  <conditionalFormatting sqref="W123">
    <cfRule type="cellIs" dxfId="2229" priority="729" operator="greaterThan">
      <formula>0.03</formula>
    </cfRule>
    <cfRule type="cellIs" dxfId="2228" priority="730" stopIfTrue="1" operator="lessThan">
      <formula>-0.03</formula>
    </cfRule>
  </conditionalFormatting>
  <conditionalFormatting sqref="X123">
    <cfRule type="cellIs" dxfId="2227" priority="727" operator="greaterThan">
      <formula>0.03</formula>
    </cfRule>
    <cfRule type="cellIs" dxfId="2226" priority="728" stopIfTrue="1" operator="lessThan">
      <formula>-0.03</formula>
    </cfRule>
  </conditionalFormatting>
  <conditionalFormatting sqref="Y123">
    <cfRule type="cellIs" dxfId="2225" priority="725" operator="greaterThan">
      <formula>0.03</formula>
    </cfRule>
    <cfRule type="cellIs" dxfId="2224" priority="726" stopIfTrue="1" operator="lessThan">
      <formula>-0.03</formula>
    </cfRule>
  </conditionalFormatting>
  <conditionalFormatting sqref="W127">
    <cfRule type="cellIs" dxfId="2223" priority="723" operator="greaterThan">
      <formula>0.03</formula>
    </cfRule>
    <cfRule type="cellIs" dxfId="2222" priority="724" stopIfTrue="1" operator="lessThan">
      <formula>-0.03</formula>
    </cfRule>
  </conditionalFormatting>
  <conditionalFormatting sqref="X127">
    <cfRule type="cellIs" dxfId="2221" priority="721" operator="greaterThan">
      <formula>0.03</formula>
    </cfRule>
    <cfRule type="cellIs" dxfId="2220" priority="722" stopIfTrue="1" operator="lessThan">
      <formula>-0.03</formula>
    </cfRule>
  </conditionalFormatting>
  <conditionalFormatting sqref="Y127">
    <cfRule type="cellIs" dxfId="2219" priority="719" operator="greaterThan">
      <formula>0.03</formula>
    </cfRule>
    <cfRule type="cellIs" dxfId="2218" priority="720" stopIfTrue="1" operator="lessThan">
      <formula>-0.03</formula>
    </cfRule>
  </conditionalFormatting>
  <conditionalFormatting sqref="W131">
    <cfRule type="cellIs" dxfId="2217" priority="717" operator="greaterThan">
      <formula>0.03</formula>
    </cfRule>
    <cfRule type="cellIs" dxfId="2216" priority="718" stopIfTrue="1" operator="lessThan">
      <formula>-0.03</formula>
    </cfRule>
  </conditionalFormatting>
  <conditionalFormatting sqref="X131">
    <cfRule type="cellIs" dxfId="2215" priority="715" operator="greaterThan">
      <formula>0.03</formula>
    </cfRule>
    <cfRule type="cellIs" dxfId="2214" priority="716" stopIfTrue="1" operator="lessThan">
      <formula>-0.03</formula>
    </cfRule>
  </conditionalFormatting>
  <conditionalFormatting sqref="Y131">
    <cfRule type="cellIs" dxfId="2213" priority="713" operator="greaterThan">
      <formula>0.03</formula>
    </cfRule>
    <cfRule type="cellIs" dxfId="2212" priority="714" stopIfTrue="1" operator="lessThan">
      <formula>-0.03</formula>
    </cfRule>
  </conditionalFormatting>
  <conditionalFormatting sqref="W135">
    <cfRule type="cellIs" dxfId="2211" priority="711" operator="greaterThan">
      <formula>0.03</formula>
    </cfRule>
    <cfRule type="cellIs" dxfId="2210" priority="712" stopIfTrue="1" operator="lessThan">
      <formula>-0.03</formula>
    </cfRule>
  </conditionalFormatting>
  <conditionalFormatting sqref="X135">
    <cfRule type="cellIs" dxfId="2209" priority="709" operator="greaterThan">
      <formula>0.03</formula>
    </cfRule>
    <cfRule type="cellIs" dxfId="2208" priority="710" stopIfTrue="1" operator="lessThan">
      <formula>-0.03</formula>
    </cfRule>
  </conditionalFormatting>
  <conditionalFormatting sqref="Y135">
    <cfRule type="cellIs" dxfId="2207" priority="707" operator="greaterThan">
      <formula>0.03</formula>
    </cfRule>
    <cfRule type="cellIs" dxfId="2206" priority="708" stopIfTrue="1" operator="lessThan">
      <formula>-0.03</formula>
    </cfRule>
  </conditionalFormatting>
  <conditionalFormatting sqref="W139">
    <cfRule type="cellIs" dxfId="2205" priority="705" operator="greaterThan">
      <formula>0.03</formula>
    </cfRule>
    <cfRule type="cellIs" dxfId="2204" priority="706" stopIfTrue="1" operator="lessThan">
      <formula>-0.03</formula>
    </cfRule>
  </conditionalFormatting>
  <conditionalFormatting sqref="X139">
    <cfRule type="cellIs" dxfId="2203" priority="703" operator="greaterThan">
      <formula>0.03</formula>
    </cfRule>
    <cfRule type="cellIs" dxfId="2202" priority="704" stopIfTrue="1" operator="lessThan">
      <formula>-0.03</formula>
    </cfRule>
  </conditionalFormatting>
  <conditionalFormatting sqref="Y139">
    <cfRule type="cellIs" dxfId="2201" priority="701" operator="greaterThan">
      <formula>0.03</formula>
    </cfRule>
    <cfRule type="cellIs" dxfId="2200" priority="702" stopIfTrue="1" operator="lessThan">
      <formula>-0.03</formula>
    </cfRule>
  </conditionalFormatting>
  <conditionalFormatting sqref="W143">
    <cfRule type="cellIs" dxfId="2199" priority="699" operator="greaterThan">
      <formula>0.03</formula>
    </cfRule>
    <cfRule type="cellIs" dxfId="2198" priority="700" stopIfTrue="1" operator="lessThan">
      <formula>-0.03</formula>
    </cfRule>
  </conditionalFormatting>
  <conditionalFormatting sqref="X143">
    <cfRule type="cellIs" dxfId="2197" priority="697" operator="greaterThan">
      <formula>0.03</formula>
    </cfRule>
    <cfRule type="cellIs" dxfId="2196" priority="698" stopIfTrue="1" operator="lessThan">
      <formula>-0.03</formula>
    </cfRule>
  </conditionalFormatting>
  <conditionalFormatting sqref="Y143">
    <cfRule type="cellIs" dxfId="2195" priority="695" operator="greaterThan">
      <formula>0.03</formula>
    </cfRule>
    <cfRule type="cellIs" dxfId="2194" priority="696" stopIfTrue="1" operator="lessThan">
      <formula>-0.03</formula>
    </cfRule>
  </conditionalFormatting>
  <conditionalFormatting sqref="W147">
    <cfRule type="cellIs" dxfId="2193" priority="693" operator="greaterThan">
      <formula>0.03</formula>
    </cfRule>
    <cfRule type="cellIs" dxfId="2192" priority="694" stopIfTrue="1" operator="lessThan">
      <formula>-0.03</formula>
    </cfRule>
  </conditionalFormatting>
  <conditionalFormatting sqref="X147">
    <cfRule type="cellIs" dxfId="2191" priority="691" operator="greaterThan">
      <formula>0.03</formula>
    </cfRule>
    <cfRule type="cellIs" dxfId="2190" priority="692" stopIfTrue="1" operator="lessThan">
      <formula>-0.03</formula>
    </cfRule>
  </conditionalFormatting>
  <conditionalFormatting sqref="Y147">
    <cfRule type="cellIs" dxfId="2189" priority="689" operator="greaterThan">
      <formula>0.03</formula>
    </cfRule>
    <cfRule type="cellIs" dxfId="2188" priority="690" stopIfTrue="1" operator="lessThan">
      <formula>-0.03</formula>
    </cfRule>
  </conditionalFormatting>
  <conditionalFormatting sqref="W151">
    <cfRule type="cellIs" dxfId="2187" priority="687" operator="greaterThan">
      <formula>0.03</formula>
    </cfRule>
    <cfRule type="cellIs" dxfId="2186" priority="688" stopIfTrue="1" operator="lessThan">
      <formula>-0.03</formula>
    </cfRule>
  </conditionalFormatting>
  <conditionalFormatting sqref="X151">
    <cfRule type="cellIs" dxfId="2185" priority="685" operator="greaterThan">
      <formula>0.03</formula>
    </cfRule>
    <cfRule type="cellIs" dxfId="2184" priority="686" stopIfTrue="1" operator="lessThan">
      <formula>-0.03</formula>
    </cfRule>
  </conditionalFormatting>
  <conditionalFormatting sqref="Y151">
    <cfRule type="cellIs" dxfId="2183" priority="683" operator="greaterThan">
      <formula>0.03</formula>
    </cfRule>
    <cfRule type="cellIs" dxfId="2182" priority="684" stopIfTrue="1" operator="lessThan">
      <formula>-0.03</formula>
    </cfRule>
  </conditionalFormatting>
  <conditionalFormatting sqref="W155">
    <cfRule type="cellIs" dxfId="2181" priority="681" operator="greaterThan">
      <formula>0.03</formula>
    </cfRule>
    <cfRule type="cellIs" dxfId="2180" priority="682" stopIfTrue="1" operator="lessThan">
      <formula>-0.03</formula>
    </cfRule>
  </conditionalFormatting>
  <conditionalFormatting sqref="X155">
    <cfRule type="cellIs" dxfId="2179" priority="679" operator="greaterThan">
      <formula>0.03</formula>
    </cfRule>
    <cfRule type="cellIs" dxfId="2178" priority="680" stopIfTrue="1" operator="lessThan">
      <formula>-0.03</formula>
    </cfRule>
  </conditionalFormatting>
  <conditionalFormatting sqref="Y155">
    <cfRule type="cellIs" dxfId="2177" priority="677" operator="greaterThan">
      <formula>0.03</formula>
    </cfRule>
    <cfRule type="cellIs" dxfId="2176" priority="678" stopIfTrue="1" operator="lessThan">
      <formula>-0.03</formula>
    </cfRule>
  </conditionalFormatting>
  <conditionalFormatting sqref="W110:X110">
    <cfRule type="cellIs" dxfId="2175" priority="675" operator="greaterThan">
      <formula>0.03</formula>
    </cfRule>
    <cfRule type="cellIs" dxfId="2174" priority="676" stopIfTrue="1" operator="lessThan">
      <formula>-0.03</formula>
    </cfRule>
  </conditionalFormatting>
  <conditionalFormatting sqref="W114:X114">
    <cfRule type="cellIs" dxfId="2173" priority="673" operator="greaterThan">
      <formula>0.03</formula>
    </cfRule>
    <cfRule type="cellIs" dxfId="2172" priority="674" stopIfTrue="1" operator="lessThan">
      <formula>-0.03</formula>
    </cfRule>
  </conditionalFormatting>
  <conditionalFormatting sqref="W118:X118">
    <cfRule type="cellIs" dxfId="2171" priority="671" operator="greaterThan">
      <formula>0.03</formula>
    </cfRule>
    <cfRule type="cellIs" dxfId="2170" priority="672" stopIfTrue="1" operator="lessThan">
      <formula>-0.03</formula>
    </cfRule>
  </conditionalFormatting>
  <conditionalFormatting sqref="W122:X122">
    <cfRule type="cellIs" dxfId="2169" priority="669" operator="greaterThan">
      <formula>0.03</formula>
    </cfRule>
    <cfRule type="cellIs" dxfId="2168" priority="670" stopIfTrue="1" operator="lessThan">
      <formula>-0.03</formula>
    </cfRule>
  </conditionalFormatting>
  <conditionalFormatting sqref="W126:X126">
    <cfRule type="cellIs" dxfId="2167" priority="667" operator="greaterThan">
      <formula>0.03</formula>
    </cfRule>
    <cfRule type="cellIs" dxfId="2166" priority="668" stopIfTrue="1" operator="lessThan">
      <formula>-0.03</formula>
    </cfRule>
  </conditionalFormatting>
  <conditionalFormatting sqref="W130:X130">
    <cfRule type="cellIs" dxfId="2165" priority="665" operator="greaterThan">
      <formula>0.03</formula>
    </cfRule>
    <cfRule type="cellIs" dxfId="2164" priority="666" stopIfTrue="1" operator="lessThan">
      <formula>-0.03</formula>
    </cfRule>
  </conditionalFormatting>
  <conditionalFormatting sqref="W134:X134">
    <cfRule type="cellIs" dxfId="2163" priority="663" operator="greaterThan">
      <formula>0.03</formula>
    </cfRule>
    <cfRule type="cellIs" dxfId="2162" priority="664" stopIfTrue="1" operator="lessThan">
      <formula>-0.03</formula>
    </cfRule>
  </conditionalFormatting>
  <conditionalFormatting sqref="W138:X138">
    <cfRule type="cellIs" dxfId="2161" priority="661" operator="greaterThan">
      <formula>0.03</formula>
    </cfRule>
    <cfRule type="cellIs" dxfId="2160" priority="662" stopIfTrue="1" operator="lessThan">
      <formula>-0.03</formula>
    </cfRule>
  </conditionalFormatting>
  <conditionalFormatting sqref="W142:X142">
    <cfRule type="cellIs" dxfId="2159" priority="659" operator="greaterThan">
      <formula>0.03</formula>
    </cfRule>
    <cfRule type="cellIs" dxfId="2158" priority="660" stopIfTrue="1" operator="lessThan">
      <formula>-0.03</formula>
    </cfRule>
  </conditionalFormatting>
  <conditionalFormatting sqref="W146:X146">
    <cfRule type="cellIs" dxfId="2157" priority="657" operator="greaterThan">
      <formula>0.03</formula>
    </cfRule>
    <cfRule type="cellIs" dxfId="2156" priority="658" stopIfTrue="1" operator="lessThan">
      <formula>-0.03</formula>
    </cfRule>
  </conditionalFormatting>
  <conditionalFormatting sqref="W150:X150">
    <cfRule type="cellIs" dxfId="2155" priority="655" operator="greaterThan">
      <formula>0.03</formula>
    </cfRule>
    <cfRule type="cellIs" dxfId="2154" priority="656" stopIfTrue="1" operator="lessThan">
      <formula>-0.03</formula>
    </cfRule>
  </conditionalFormatting>
  <conditionalFormatting sqref="W154:X154">
    <cfRule type="cellIs" dxfId="2153" priority="653" operator="greaterThan">
      <formula>0.03</formula>
    </cfRule>
    <cfRule type="cellIs" dxfId="2152" priority="654" stopIfTrue="1" operator="lessThan">
      <formula>-0.03</formula>
    </cfRule>
  </conditionalFormatting>
  <conditionalFormatting sqref="W158:X158">
    <cfRule type="cellIs" dxfId="2151" priority="651" operator="greaterThan">
      <formula>0.03</formula>
    </cfRule>
    <cfRule type="cellIs" dxfId="2150" priority="652" stopIfTrue="1" operator="lessThan">
      <formula>-0.03</formula>
    </cfRule>
  </conditionalFormatting>
  <conditionalFormatting sqref="T107">
    <cfRule type="cellIs" dxfId="2149" priority="649" operator="greaterThan">
      <formula>0.03</formula>
    </cfRule>
    <cfRule type="cellIs" dxfId="2148" priority="650" stopIfTrue="1" operator="lessThan">
      <formula>-0.03</formula>
    </cfRule>
  </conditionalFormatting>
  <conditionalFormatting sqref="T160:V210 U159:V159">
    <cfRule type="cellIs" dxfId="2147" priority="647" operator="greaterThan">
      <formula>0.03</formula>
    </cfRule>
    <cfRule type="cellIs" dxfId="2146" priority="648" stopIfTrue="1" operator="lessThan">
      <formula>-0.03</formula>
    </cfRule>
  </conditionalFormatting>
  <conditionalFormatting sqref="W159">
    <cfRule type="cellIs" dxfId="2145" priority="645" operator="greaterThan">
      <formula>0.03</formula>
    </cfRule>
    <cfRule type="cellIs" dxfId="2144" priority="646" stopIfTrue="1" operator="lessThan">
      <formula>-0.03</formula>
    </cfRule>
  </conditionalFormatting>
  <conditionalFormatting sqref="X159">
    <cfRule type="cellIs" dxfId="2143" priority="643" operator="greaterThan">
      <formula>0.03</formula>
    </cfRule>
    <cfRule type="cellIs" dxfId="2142" priority="644" stopIfTrue="1" operator="lessThan">
      <formula>-0.03</formula>
    </cfRule>
  </conditionalFormatting>
  <conditionalFormatting sqref="Y159">
    <cfRule type="cellIs" dxfId="2141" priority="641" operator="greaterThan">
      <formula>0.03</formula>
    </cfRule>
    <cfRule type="cellIs" dxfId="2140" priority="642" stopIfTrue="1" operator="lessThan">
      <formula>-0.03</formula>
    </cfRule>
  </conditionalFormatting>
  <conditionalFormatting sqref="W163">
    <cfRule type="cellIs" dxfId="2139" priority="639" operator="greaterThan">
      <formula>0.03</formula>
    </cfRule>
    <cfRule type="cellIs" dxfId="2138" priority="640" stopIfTrue="1" operator="lessThan">
      <formula>-0.03</formula>
    </cfRule>
  </conditionalFormatting>
  <conditionalFormatting sqref="X163">
    <cfRule type="cellIs" dxfId="2137" priority="637" operator="greaterThan">
      <formula>0.03</formula>
    </cfRule>
    <cfRule type="cellIs" dxfId="2136" priority="638" stopIfTrue="1" operator="lessThan">
      <formula>-0.03</formula>
    </cfRule>
  </conditionalFormatting>
  <conditionalFormatting sqref="Y163">
    <cfRule type="cellIs" dxfId="2135" priority="635" operator="greaterThan">
      <formula>0.03</formula>
    </cfRule>
    <cfRule type="cellIs" dxfId="2134" priority="636" stopIfTrue="1" operator="lessThan">
      <formula>-0.03</formula>
    </cfRule>
  </conditionalFormatting>
  <conditionalFormatting sqref="W167">
    <cfRule type="cellIs" dxfId="2133" priority="633" operator="greaterThan">
      <formula>0.03</formula>
    </cfRule>
    <cfRule type="cellIs" dxfId="2132" priority="634" stopIfTrue="1" operator="lessThan">
      <formula>-0.03</formula>
    </cfRule>
  </conditionalFormatting>
  <conditionalFormatting sqref="X167">
    <cfRule type="cellIs" dxfId="2131" priority="631" operator="greaterThan">
      <formula>0.03</formula>
    </cfRule>
    <cfRule type="cellIs" dxfId="2130" priority="632" stopIfTrue="1" operator="lessThan">
      <formula>-0.03</formula>
    </cfRule>
  </conditionalFormatting>
  <conditionalFormatting sqref="Y167">
    <cfRule type="cellIs" dxfId="2129" priority="629" operator="greaterThan">
      <formula>0.03</formula>
    </cfRule>
    <cfRule type="cellIs" dxfId="2128" priority="630" stopIfTrue="1" operator="lessThan">
      <formula>-0.03</formula>
    </cfRule>
  </conditionalFormatting>
  <conditionalFormatting sqref="W171">
    <cfRule type="cellIs" dxfId="2127" priority="627" operator="greaterThan">
      <formula>0.03</formula>
    </cfRule>
    <cfRule type="cellIs" dxfId="2126" priority="628" stopIfTrue="1" operator="lessThan">
      <formula>-0.03</formula>
    </cfRule>
  </conditionalFormatting>
  <conditionalFormatting sqref="X171">
    <cfRule type="cellIs" dxfId="2125" priority="625" operator="greaterThan">
      <formula>0.03</formula>
    </cfRule>
    <cfRule type="cellIs" dxfId="2124" priority="626" stopIfTrue="1" operator="lessThan">
      <formula>-0.03</formula>
    </cfRule>
  </conditionalFormatting>
  <conditionalFormatting sqref="Y171">
    <cfRule type="cellIs" dxfId="2123" priority="623" operator="greaterThan">
      <formula>0.03</formula>
    </cfRule>
    <cfRule type="cellIs" dxfId="2122" priority="624" stopIfTrue="1" operator="lessThan">
      <formula>-0.03</formula>
    </cfRule>
  </conditionalFormatting>
  <conditionalFormatting sqref="W175">
    <cfRule type="cellIs" dxfId="2121" priority="621" operator="greaterThan">
      <formula>0.03</formula>
    </cfRule>
    <cfRule type="cellIs" dxfId="2120" priority="622" stopIfTrue="1" operator="lessThan">
      <formula>-0.03</formula>
    </cfRule>
  </conditionalFormatting>
  <conditionalFormatting sqref="X175">
    <cfRule type="cellIs" dxfId="2119" priority="619" operator="greaterThan">
      <formula>0.03</formula>
    </cfRule>
    <cfRule type="cellIs" dxfId="2118" priority="620" stopIfTrue="1" operator="lessThan">
      <formula>-0.03</formula>
    </cfRule>
  </conditionalFormatting>
  <conditionalFormatting sqref="Y175">
    <cfRule type="cellIs" dxfId="2117" priority="617" operator="greaterThan">
      <formula>0.03</formula>
    </cfRule>
    <cfRule type="cellIs" dxfId="2116" priority="618" stopIfTrue="1" operator="lessThan">
      <formula>-0.03</formula>
    </cfRule>
  </conditionalFormatting>
  <conditionalFormatting sqref="W179">
    <cfRule type="cellIs" dxfId="2115" priority="615" operator="greaterThan">
      <formula>0.03</formula>
    </cfRule>
    <cfRule type="cellIs" dxfId="2114" priority="616" stopIfTrue="1" operator="lessThan">
      <formula>-0.03</formula>
    </cfRule>
  </conditionalFormatting>
  <conditionalFormatting sqref="X179">
    <cfRule type="cellIs" dxfId="2113" priority="613" operator="greaterThan">
      <formula>0.03</formula>
    </cfRule>
    <cfRule type="cellIs" dxfId="2112" priority="614" stopIfTrue="1" operator="lessThan">
      <formula>-0.03</formula>
    </cfRule>
  </conditionalFormatting>
  <conditionalFormatting sqref="Y179">
    <cfRule type="cellIs" dxfId="2111" priority="611" operator="greaterThan">
      <formula>0.03</formula>
    </cfRule>
    <cfRule type="cellIs" dxfId="2110" priority="612" stopIfTrue="1" operator="lessThan">
      <formula>-0.03</formula>
    </cfRule>
  </conditionalFormatting>
  <conditionalFormatting sqref="W183">
    <cfRule type="cellIs" dxfId="2109" priority="609" operator="greaterThan">
      <formula>0.03</formula>
    </cfRule>
    <cfRule type="cellIs" dxfId="2108" priority="610" stopIfTrue="1" operator="lessThan">
      <formula>-0.03</formula>
    </cfRule>
  </conditionalFormatting>
  <conditionalFormatting sqref="X183">
    <cfRule type="cellIs" dxfId="2107" priority="607" operator="greaterThan">
      <formula>0.03</formula>
    </cfRule>
    <cfRule type="cellIs" dxfId="2106" priority="608" stopIfTrue="1" operator="lessThan">
      <formula>-0.03</formula>
    </cfRule>
  </conditionalFormatting>
  <conditionalFormatting sqref="Y183">
    <cfRule type="cellIs" dxfId="2105" priority="605" operator="greaterThan">
      <formula>0.03</formula>
    </cfRule>
    <cfRule type="cellIs" dxfId="2104" priority="606" stopIfTrue="1" operator="lessThan">
      <formula>-0.03</formula>
    </cfRule>
  </conditionalFormatting>
  <conditionalFormatting sqref="W187">
    <cfRule type="cellIs" dxfId="2103" priority="603" operator="greaterThan">
      <formula>0.03</formula>
    </cfRule>
    <cfRule type="cellIs" dxfId="2102" priority="604" stopIfTrue="1" operator="lessThan">
      <formula>-0.03</formula>
    </cfRule>
  </conditionalFormatting>
  <conditionalFormatting sqref="X187">
    <cfRule type="cellIs" dxfId="2101" priority="601" operator="greaterThan">
      <formula>0.03</formula>
    </cfRule>
    <cfRule type="cellIs" dxfId="2100" priority="602" stopIfTrue="1" operator="lessThan">
      <formula>-0.03</formula>
    </cfRule>
  </conditionalFormatting>
  <conditionalFormatting sqref="Y187">
    <cfRule type="cellIs" dxfId="2099" priority="599" operator="greaterThan">
      <formula>0.03</formula>
    </cfRule>
    <cfRule type="cellIs" dxfId="2098" priority="600" stopIfTrue="1" operator="lessThan">
      <formula>-0.03</formula>
    </cfRule>
  </conditionalFormatting>
  <conditionalFormatting sqref="W191">
    <cfRule type="cellIs" dxfId="2097" priority="597" operator="greaterThan">
      <formula>0.03</formula>
    </cfRule>
    <cfRule type="cellIs" dxfId="2096" priority="598" stopIfTrue="1" operator="lessThan">
      <formula>-0.03</formula>
    </cfRule>
  </conditionalFormatting>
  <conditionalFormatting sqref="X191">
    <cfRule type="cellIs" dxfId="2095" priority="595" operator="greaterThan">
      <formula>0.03</formula>
    </cfRule>
    <cfRule type="cellIs" dxfId="2094" priority="596" stopIfTrue="1" operator="lessThan">
      <formula>-0.03</formula>
    </cfRule>
  </conditionalFormatting>
  <conditionalFormatting sqref="Y191">
    <cfRule type="cellIs" dxfId="2093" priority="593" operator="greaterThan">
      <formula>0.03</formula>
    </cfRule>
    <cfRule type="cellIs" dxfId="2092" priority="594" stopIfTrue="1" operator="lessThan">
      <formula>-0.03</formula>
    </cfRule>
  </conditionalFormatting>
  <conditionalFormatting sqref="W195">
    <cfRule type="cellIs" dxfId="2091" priority="591" operator="greaterThan">
      <formula>0.03</formula>
    </cfRule>
    <cfRule type="cellIs" dxfId="2090" priority="592" stopIfTrue="1" operator="lessThan">
      <formula>-0.03</formula>
    </cfRule>
  </conditionalFormatting>
  <conditionalFormatting sqref="X195">
    <cfRule type="cellIs" dxfId="2089" priority="589" operator="greaterThan">
      <formula>0.03</formula>
    </cfRule>
    <cfRule type="cellIs" dxfId="2088" priority="590" stopIfTrue="1" operator="lessThan">
      <formula>-0.03</formula>
    </cfRule>
  </conditionalFormatting>
  <conditionalFormatting sqref="Y195">
    <cfRule type="cellIs" dxfId="2087" priority="587" operator="greaterThan">
      <formula>0.03</formula>
    </cfRule>
    <cfRule type="cellIs" dxfId="2086" priority="588" stopIfTrue="1" operator="lessThan">
      <formula>-0.03</formula>
    </cfRule>
  </conditionalFormatting>
  <conditionalFormatting sqref="W199">
    <cfRule type="cellIs" dxfId="2085" priority="585" operator="greaterThan">
      <formula>0.03</formula>
    </cfRule>
    <cfRule type="cellIs" dxfId="2084" priority="586" stopIfTrue="1" operator="lessThan">
      <formula>-0.03</formula>
    </cfRule>
  </conditionalFormatting>
  <conditionalFormatting sqref="X199">
    <cfRule type="cellIs" dxfId="2083" priority="583" operator="greaterThan">
      <formula>0.03</formula>
    </cfRule>
    <cfRule type="cellIs" dxfId="2082" priority="584" stopIfTrue="1" operator="lessThan">
      <formula>-0.03</formula>
    </cfRule>
  </conditionalFormatting>
  <conditionalFormatting sqref="Y199">
    <cfRule type="cellIs" dxfId="2081" priority="581" operator="greaterThan">
      <formula>0.03</formula>
    </cfRule>
    <cfRule type="cellIs" dxfId="2080" priority="582" stopIfTrue="1" operator="lessThan">
      <formula>-0.03</formula>
    </cfRule>
  </conditionalFormatting>
  <conditionalFormatting sqref="W203">
    <cfRule type="cellIs" dxfId="2079" priority="579" operator="greaterThan">
      <formula>0.03</formula>
    </cfRule>
    <cfRule type="cellIs" dxfId="2078" priority="580" stopIfTrue="1" operator="lessThan">
      <formula>-0.03</formula>
    </cfRule>
  </conditionalFormatting>
  <conditionalFormatting sqref="X203">
    <cfRule type="cellIs" dxfId="2077" priority="577" operator="greaterThan">
      <formula>0.03</formula>
    </cfRule>
    <cfRule type="cellIs" dxfId="2076" priority="578" stopIfTrue="1" operator="lessThan">
      <formula>-0.03</formula>
    </cfRule>
  </conditionalFormatting>
  <conditionalFormatting sqref="Y203">
    <cfRule type="cellIs" dxfId="2075" priority="575" operator="greaterThan">
      <formula>0.03</formula>
    </cfRule>
    <cfRule type="cellIs" dxfId="2074" priority="576" stopIfTrue="1" operator="lessThan">
      <formula>-0.03</formula>
    </cfRule>
  </conditionalFormatting>
  <conditionalFormatting sqref="W207">
    <cfRule type="cellIs" dxfId="2073" priority="573" operator="greaterThan">
      <formula>0.03</formula>
    </cfRule>
    <cfRule type="cellIs" dxfId="2072" priority="574" stopIfTrue="1" operator="lessThan">
      <formula>-0.03</formula>
    </cfRule>
  </conditionalFormatting>
  <conditionalFormatting sqref="X207">
    <cfRule type="cellIs" dxfId="2071" priority="571" operator="greaterThan">
      <formula>0.03</formula>
    </cfRule>
    <cfRule type="cellIs" dxfId="2070" priority="572" stopIfTrue="1" operator="lessThan">
      <formula>-0.03</formula>
    </cfRule>
  </conditionalFormatting>
  <conditionalFormatting sqref="Y207">
    <cfRule type="cellIs" dxfId="2069" priority="569" operator="greaterThan">
      <formula>0.03</formula>
    </cfRule>
    <cfRule type="cellIs" dxfId="2068" priority="570" stopIfTrue="1" operator="lessThan">
      <formula>-0.03</formula>
    </cfRule>
  </conditionalFormatting>
  <conditionalFormatting sqref="W162:X162">
    <cfRule type="cellIs" dxfId="2067" priority="567" operator="greaterThan">
      <formula>0.03</formula>
    </cfRule>
    <cfRule type="cellIs" dxfId="2066" priority="568" stopIfTrue="1" operator="lessThan">
      <formula>-0.03</formula>
    </cfRule>
  </conditionalFormatting>
  <conditionalFormatting sqref="W166:X166">
    <cfRule type="cellIs" dxfId="2065" priority="565" operator="greaterThan">
      <formula>0.03</formula>
    </cfRule>
    <cfRule type="cellIs" dxfId="2064" priority="566" stopIfTrue="1" operator="lessThan">
      <formula>-0.03</formula>
    </cfRule>
  </conditionalFormatting>
  <conditionalFormatting sqref="W170:X170">
    <cfRule type="cellIs" dxfId="2063" priority="563" operator="greaterThan">
      <formula>0.03</formula>
    </cfRule>
    <cfRule type="cellIs" dxfId="2062" priority="564" stopIfTrue="1" operator="lessThan">
      <formula>-0.03</formula>
    </cfRule>
  </conditionalFormatting>
  <conditionalFormatting sqref="W174:X174">
    <cfRule type="cellIs" dxfId="2061" priority="561" operator="greaterThan">
      <formula>0.03</formula>
    </cfRule>
    <cfRule type="cellIs" dxfId="2060" priority="562" stopIfTrue="1" operator="lessThan">
      <formula>-0.03</formula>
    </cfRule>
  </conditionalFormatting>
  <conditionalFormatting sqref="W178:X178">
    <cfRule type="cellIs" dxfId="2059" priority="559" operator="greaterThan">
      <formula>0.03</formula>
    </cfRule>
    <cfRule type="cellIs" dxfId="2058" priority="560" stopIfTrue="1" operator="lessThan">
      <formula>-0.03</formula>
    </cfRule>
  </conditionalFormatting>
  <conditionalFormatting sqref="W182:X182">
    <cfRule type="cellIs" dxfId="2057" priority="557" operator="greaterThan">
      <formula>0.03</formula>
    </cfRule>
    <cfRule type="cellIs" dxfId="2056" priority="558" stopIfTrue="1" operator="lessThan">
      <formula>-0.03</formula>
    </cfRule>
  </conditionalFormatting>
  <conditionalFormatting sqref="W186:X186">
    <cfRule type="cellIs" dxfId="2055" priority="555" operator="greaterThan">
      <formula>0.03</formula>
    </cfRule>
    <cfRule type="cellIs" dxfId="2054" priority="556" stopIfTrue="1" operator="lessThan">
      <formula>-0.03</formula>
    </cfRule>
  </conditionalFormatting>
  <conditionalFormatting sqref="W190:X190">
    <cfRule type="cellIs" dxfId="2053" priority="553" operator="greaterThan">
      <formula>0.03</formula>
    </cfRule>
    <cfRule type="cellIs" dxfId="2052" priority="554" stopIfTrue="1" operator="lessThan">
      <formula>-0.03</formula>
    </cfRule>
  </conditionalFormatting>
  <conditionalFormatting sqref="W194:X194">
    <cfRule type="cellIs" dxfId="2051" priority="551" operator="greaterThan">
      <formula>0.03</formula>
    </cfRule>
    <cfRule type="cellIs" dxfId="2050" priority="552" stopIfTrue="1" operator="lessThan">
      <formula>-0.03</formula>
    </cfRule>
  </conditionalFormatting>
  <conditionalFormatting sqref="W198:X198">
    <cfRule type="cellIs" dxfId="2049" priority="549" operator="greaterThan">
      <formula>0.03</formula>
    </cfRule>
    <cfRule type="cellIs" dxfId="2048" priority="550" stopIfTrue="1" operator="lessThan">
      <formula>-0.03</formula>
    </cfRule>
  </conditionalFormatting>
  <conditionalFormatting sqref="W202:X202">
    <cfRule type="cellIs" dxfId="2047" priority="547" operator="greaterThan">
      <formula>0.03</formula>
    </cfRule>
    <cfRule type="cellIs" dxfId="2046" priority="548" stopIfTrue="1" operator="lessThan">
      <formula>-0.03</formula>
    </cfRule>
  </conditionalFormatting>
  <conditionalFormatting sqref="W206:X206">
    <cfRule type="cellIs" dxfId="2045" priority="545" operator="greaterThan">
      <formula>0.03</formula>
    </cfRule>
    <cfRule type="cellIs" dxfId="2044" priority="546" stopIfTrue="1" operator="lessThan">
      <formula>-0.03</formula>
    </cfRule>
  </conditionalFormatting>
  <conditionalFormatting sqref="W210:X210">
    <cfRule type="cellIs" dxfId="2043" priority="543" operator="greaterThan">
      <formula>0.03</formula>
    </cfRule>
    <cfRule type="cellIs" dxfId="2042" priority="544" stopIfTrue="1" operator="lessThan">
      <formula>-0.03</formula>
    </cfRule>
  </conditionalFormatting>
  <conditionalFormatting sqref="T159">
    <cfRule type="cellIs" dxfId="2041" priority="541" operator="greaterThan">
      <formula>0.03</formula>
    </cfRule>
    <cfRule type="cellIs" dxfId="2040" priority="542" stopIfTrue="1" operator="lessThan">
      <formula>-0.03</formula>
    </cfRule>
  </conditionalFormatting>
  <conditionalFormatting sqref="T212:V262 U211:V211">
    <cfRule type="cellIs" dxfId="2039" priority="539" operator="greaterThan">
      <formula>0.03</formula>
    </cfRule>
    <cfRule type="cellIs" dxfId="2038" priority="540" stopIfTrue="1" operator="lessThan">
      <formula>-0.03</formula>
    </cfRule>
  </conditionalFormatting>
  <conditionalFormatting sqref="W211">
    <cfRule type="cellIs" dxfId="2037" priority="537" operator="greaterThan">
      <formula>0.03</formula>
    </cfRule>
    <cfRule type="cellIs" dxfId="2036" priority="538" stopIfTrue="1" operator="lessThan">
      <formula>-0.03</formula>
    </cfRule>
  </conditionalFormatting>
  <conditionalFormatting sqref="X211">
    <cfRule type="cellIs" dxfId="2035" priority="535" operator="greaterThan">
      <formula>0.03</formula>
    </cfRule>
    <cfRule type="cellIs" dxfId="2034" priority="536" stopIfTrue="1" operator="lessThan">
      <formula>-0.03</formula>
    </cfRule>
  </conditionalFormatting>
  <conditionalFormatting sqref="Y211">
    <cfRule type="cellIs" dxfId="2033" priority="533" operator="greaterThan">
      <formula>0.03</formula>
    </cfRule>
    <cfRule type="cellIs" dxfId="2032" priority="534" stopIfTrue="1" operator="lessThan">
      <formula>-0.03</formula>
    </cfRule>
  </conditionalFormatting>
  <conditionalFormatting sqref="W215">
    <cfRule type="cellIs" dxfId="2031" priority="531" operator="greaterThan">
      <formula>0.03</formula>
    </cfRule>
    <cfRule type="cellIs" dxfId="2030" priority="532" stopIfTrue="1" operator="lessThan">
      <formula>-0.03</formula>
    </cfRule>
  </conditionalFormatting>
  <conditionalFormatting sqref="X215">
    <cfRule type="cellIs" dxfId="2029" priority="529" operator="greaterThan">
      <formula>0.03</formula>
    </cfRule>
    <cfRule type="cellIs" dxfId="2028" priority="530" stopIfTrue="1" operator="lessThan">
      <formula>-0.03</formula>
    </cfRule>
  </conditionalFormatting>
  <conditionalFormatting sqref="Y215">
    <cfRule type="cellIs" dxfId="2027" priority="527" operator="greaterThan">
      <formula>0.03</formula>
    </cfRule>
    <cfRule type="cellIs" dxfId="2026" priority="528" stopIfTrue="1" operator="lessThan">
      <formula>-0.03</formula>
    </cfRule>
  </conditionalFormatting>
  <conditionalFormatting sqref="W219">
    <cfRule type="cellIs" dxfId="2025" priority="525" operator="greaterThan">
      <formula>0.03</formula>
    </cfRule>
    <cfRule type="cellIs" dxfId="2024" priority="526" stopIfTrue="1" operator="lessThan">
      <formula>-0.03</formula>
    </cfRule>
  </conditionalFormatting>
  <conditionalFormatting sqref="X219">
    <cfRule type="cellIs" dxfId="2023" priority="523" operator="greaterThan">
      <formula>0.03</formula>
    </cfRule>
    <cfRule type="cellIs" dxfId="2022" priority="524" stopIfTrue="1" operator="lessThan">
      <formula>-0.03</formula>
    </cfRule>
  </conditionalFormatting>
  <conditionalFormatting sqref="Y219">
    <cfRule type="cellIs" dxfId="2021" priority="521" operator="greaterThan">
      <formula>0.03</formula>
    </cfRule>
    <cfRule type="cellIs" dxfId="2020" priority="522" stopIfTrue="1" operator="lessThan">
      <formula>-0.03</formula>
    </cfRule>
  </conditionalFormatting>
  <conditionalFormatting sqref="W223">
    <cfRule type="cellIs" dxfId="2019" priority="519" operator="greaterThan">
      <formula>0.03</formula>
    </cfRule>
    <cfRule type="cellIs" dxfId="2018" priority="520" stopIfTrue="1" operator="lessThan">
      <formula>-0.03</formula>
    </cfRule>
  </conditionalFormatting>
  <conditionalFormatting sqref="X223">
    <cfRule type="cellIs" dxfId="2017" priority="517" operator="greaterThan">
      <formula>0.03</formula>
    </cfRule>
    <cfRule type="cellIs" dxfId="2016" priority="518" stopIfTrue="1" operator="lessThan">
      <formula>-0.03</formula>
    </cfRule>
  </conditionalFormatting>
  <conditionalFormatting sqref="Y223">
    <cfRule type="cellIs" dxfId="2015" priority="515" operator="greaterThan">
      <formula>0.03</formula>
    </cfRule>
    <cfRule type="cellIs" dxfId="2014" priority="516" stopIfTrue="1" operator="lessThan">
      <formula>-0.03</formula>
    </cfRule>
  </conditionalFormatting>
  <conditionalFormatting sqref="W227">
    <cfRule type="cellIs" dxfId="2013" priority="513" operator="greaterThan">
      <formula>0.03</formula>
    </cfRule>
    <cfRule type="cellIs" dxfId="2012" priority="514" stopIfTrue="1" operator="lessThan">
      <formula>-0.03</formula>
    </cfRule>
  </conditionalFormatting>
  <conditionalFormatting sqref="X227">
    <cfRule type="cellIs" dxfId="2011" priority="511" operator="greaterThan">
      <formula>0.03</formula>
    </cfRule>
    <cfRule type="cellIs" dxfId="2010" priority="512" stopIfTrue="1" operator="lessThan">
      <formula>-0.03</formula>
    </cfRule>
  </conditionalFormatting>
  <conditionalFormatting sqref="Y227">
    <cfRule type="cellIs" dxfId="2009" priority="509" operator="greaterThan">
      <formula>0.03</formula>
    </cfRule>
    <cfRule type="cellIs" dxfId="2008" priority="510" stopIfTrue="1" operator="lessThan">
      <formula>-0.03</formula>
    </cfRule>
  </conditionalFormatting>
  <conditionalFormatting sqref="W231">
    <cfRule type="cellIs" dxfId="2007" priority="507" operator="greaterThan">
      <formula>0.03</formula>
    </cfRule>
    <cfRule type="cellIs" dxfId="2006" priority="508" stopIfTrue="1" operator="lessThan">
      <formula>-0.03</formula>
    </cfRule>
  </conditionalFormatting>
  <conditionalFormatting sqref="X231">
    <cfRule type="cellIs" dxfId="2005" priority="505" operator="greaterThan">
      <formula>0.03</formula>
    </cfRule>
    <cfRule type="cellIs" dxfId="2004" priority="506" stopIfTrue="1" operator="lessThan">
      <formula>-0.03</formula>
    </cfRule>
  </conditionalFormatting>
  <conditionalFormatting sqref="Y231">
    <cfRule type="cellIs" dxfId="2003" priority="503" operator="greaterThan">
      <formula>0.03</formula>
    </cfRule>
    <cfRule type="cellIs" dxfId="2002" priority="504" stopIfTrue="1" operator="lessThan">
      <formula>-0.03</formula>
    </cfRule>
  </conditionalFormatting>
  <conditionalFormatting sqref="W235">
    <cfRule type="cellIs" dxfId="2001" priority="501" operator="greaterThan">
      <formula>0.03</formula>
    </cfRule>
    <cfRule type="cellIs" dxfId="2000" priority="502" stopIfTrue="1" operator="lessThan">
      <formula>-0.03</formula>
    </cfRule>
  </conditionalFormatting>
  <conditionalFormatting sqref="X235">
    <cfRule type="cellIs" dxfId="1999" priority="499" operator="greaterThan">
      <formula>0.03</formula>
    </cfRule>
    <cfRule type="cellIs" dxfId="1998" priority="500" stopIfTrue="1" operator="lessThan">
      <formula>-0.03</formula>
    </cfRule>
  </conditionalFormatting>
  <conditionalFormatting sqref="Y235">
    <cfRule type="cellIs" dxfId="1997" priority="497" operator="greaterThan">
      <formula>0.03</formula>
    </cfRule>
    <cfRule type="cellIs" dxfId="1996" priority="498" stopIfTrue="1" operator="lessThan">
      <formula>-0.03</formula>
    </cfRule>
  </conditionalFormatting>
  <conditionalFormatting sqref="W239">
    <cfRule type="cellIs" dxfId="1995" priority="495" operator="greaterThan">
      <formula>0.03</formula>
    </cfRule>
    <cfRule type="cellIs" dxfId="1994" priority="496" stopIfTrue="1" operator="lessThan">
      <formula>-0.03</formula>
    </cfRule>
  </conditionalFormatting>
  <conditionalFormatting sqref="X239">
    <cfRule type="cellIs" dxfId="1993" priority="493" operator="greaterThan">
      <formula>0.03</formula>
    </cfRule>
    <cfRule type="cellIs" dxfId="1992" priority="494" stopIfTrue="1" operator="lessThan">
      <formula>-0.03</formula>
    </cfRule>
  </conditionalFormatting>
  <conditionalFormatting sqref="Y239">
    <cfRule type="cellIs" dxfId="1991" priority="491" operator="greaterThan">
      <formula>0.03</formula>
    </cfRule>
    <cfRule type="cellIs" dxfId="1990" priority="492" stopIfTrue="1" operator="lessThan">
      <formula>-0.03</formula>
    </cfRule>
  </conditionalFormatting>
  <conditionalFormatting sqref="W243">
    <cfRule type="cellIs" dxfId="1989" priority="489" operator="greaterThan">
      <formula>0.03</formula>
    </cfRule>
    <cfRule type="cellIs" dxfId="1988" priority="490" stopIfTrue="1" operator="lessThan">
      <formula>-0.03</formula>
    </cfRule>
  </conditionalFormatting>
  <conditionalFormatting sqref="X243">
    <cfRule type="cellIs" dxfId="1987" priority="487" operator="greaterThan">
      <formula>0.03</formula>
    </cfRule>
    <cfRule type="cellIs" dxfId="1986" priority="488" stopIfTrue="1" operator="lessThan">
      <formula>-0.03</formula>
    </cfRule>
  </conditionalFormatting>
  <conditionalFormatting sqref="Y243">
    <cfRule type="cellIs" dxfId="1985" priority="485" operator="greaterThan">
      <formula>0.03</formula>
    </cfRule>
    <cfRule type="cellIs" dxfId="1984" priority="486" stopIfTrue="1" operator="lessThan">
      <formula>-0.03</formula>
    </cfRule>
  </conditionalFormatting>
  <conditionalFormatting sqref="W247">
    <cfRule type="cellIs" dxfId="1983" priority="483" operator="greaterThan">
      <formula>0.03</formula>
    </cfRule>
    <cfRule type="cellIs" dxfId="1982" priority="484" stopIfTrue="1" operator="lessThan">
      <formula>-0.03</formula>
    </cfRule>
  </conditionalFormatting>
  <conditionalFormatting sqref="X247">
    <cfRule type="cellIs" dxfId="1981" priority="481" operator="greaterThan">
      <formula>0.03</formula>
    </cfRule>
    <cfRule type="cellIs" dxfId="1980" priority="482" stopIfTrue="1" operator="lessThan">
      <formula>-0.03</formula>
    </cfRule>
  </conditionalFormatting>
  <conditionalFormatting sqref="Y247">
    <cfRule type="cellIs" dxfId="1979" priority="479" operator="greaterThan">
      <formula>0.03</formula>
    </cfRule>
    <cfRule type="cellIs" dxfId="1978" priority="480" stopIfTrue="1" operator="lessThan">
      <formula>-0.03</formula>
    </cfRule>
  </conditionalFormatting>
  <conditionalFormatting sqref="W251">
    <cfRule type="cellIs" dxfId="1977" priority="477" operator="greaterThan">
      <formula>0.03</formula>
    </cfRule>
    <cfRule type="cellIs" dxfId="1976" priority="478" stopIfTrue="1" operator="lessThan">
      <formula>-0.03</formula>
    </cfRule>
  </conditionalFormatting>
  <conditionalFormatting sqref="X251">
    <cfRule type="cellIs" dxfId="1975" priority="475" operator="greaterThan">
      <formula>0.03</formula>
    </cfRule>
    <cfRule type="cellIs" dxfId="1974" priority="476" stopIfTrue="1" operator="lessThan">
      <formula>-0.03</formula>
    </cfRule>
  </conditionalFormatting>
  <conditionalFormatting sqref="Y251">
    <cfRule type="cellIs" dxfId="1973" priority="473" operator="greaterThan">
      <formula>0.03</formula>
    </cfRule>
    <cfRule type="cellIs" dxfId="1972" priority="474" stopIfTrue="1" operator="lessThan">
      <formula>-0.03</formula>
    </cfRule>
  </conditionalFormatting>
  <conditionalFormatting sqref="W255">
    <cfRule type="cellIs" dxfId="1971" priority="471" operator="greaterThan">
      <formula>0.03</formula>
    </cfRule>
    <cfRule type="cellIs" dxfId="1970" priority="472" stopIfTrue="1" operator="lessThan">
      <formula>-0.03</formula>
    </cfRule>
  </conditionalFormatting>
  <conditionalFormatting sqref="X255">
    <cfRule type="cellIs" dxfId="1969" priority="469" operator="greaterThan">
      <formula>0.03</formula>
    </cfRule>
    <cfRule type="cellIs" dxfId="1968" priority="470" stopIfTrue="1" operator="lessThan">
      <formula>-0.03</formula>
    </cfRule>
  </conditionalFormatting>
  <conditionalFormatting sqref="Y255">
    <cfRule type="cellIs" dxfId="1967" priority="467" operator="greaterThan">
      <formula>0.03</formula>
    </cfRule>
    <cfRule type="cellIs" dxfId="1966" priority="468" stopIfTrue="1" operator="lessThan">
      <formula>-0.03</formula>
    </cfRule>
  </conditionalFormatting>
  <conditionalFormatting sqref="W259">
    <cfRule type="cellIs" dxfId="1965" priority="465" operator="greaterThan">
      <formula>0.03</formula>
    </cfRule>
    <cfRule type="cellIs" dxfId="1964" priority="466" stopIfTrue="1" operator="lessThan">
      <formula>-0.03</formula>
    </cfRule>
  </conditionalFormatting>
  <conditionalFormatting sqref="X259">
    <cfRule type="cellIs" dxfId="1963" priority="463" operator="greaterThan">
      <formula>0.03</formula>
    </cfRule>
    <cfRule type="cellIs" dxfId="1962" priority="464" stopIfTrue="1" operator="lessThan">
      <formula>-0.03</formula>
    </cfRule>
  </conditionalFormatting>
  <conditionalFormatting sqref="Y259">
    <cfRule type="cellIs" dxfId="1961" priority="461" operator="greaterThan">
      <formula>0.03</formula>
    </cfRule>
    <cfRule type="cellIs" dxfId="1960" priority="462" stopIfTrue="1" operator="lessThan">
      <formula>-0.03</formula>
    </cfRule>
  </conditionalFormatting>
  <conditionalFormatting sqref="W214:X214">
    <cfRule type="cellIs" dxfId="1959" priority="459" operator="greaterThan">
      <formula>0.03</formula>
    </cfRule>
    <cfRule type="cellIs" dxfId="1958" priority="460" stopIfTrue="1" operator="lessThan">
      <formula>-0.03</formula>
    </cfRule>
  </conditionalFormatting>
  <conditionalFormatting sqref="W218:X218">
    <cfRule type="cellIs" dxfId="1957" priority="457" operator="greaterThan">
      <formula>0.03</formula>
    </cfRule>
    <cfRule type="cellIs" dxfId="1956" priority="458" stopIfTrue="1" operator="lessThan">
      <formula>-0.03</formula>
    </cfRule>
  </conditionalFormatting>
  <conditionalFormatting sqref="W222:X222">
    <cfRule type="cellIs" dxfId="1955" priority="455" operator="greaterThan">
      <formula>0.03</formula>
    </cfRule>
    <cfRule type="cellIs" dxfId="1954" priority="456" stopIfTrue="1" operator="lessThan">
      <formula>-0.03</formula>
    </cfRule>
  </conditionalFormatting>
  <conditionalFormatting sqref="W226:X226">
    <cfRule type="cellIs" dxfId="1953" priority="453" operator="greaterThan">
      <formula>0.03</formula>
    </cfRule>
    <cfRule type="cellIs" dxfId="1952" priority="454" stopIfTrue="1" operator="lessThan">
      <formula>-0.03</formula>
    </cfRule>
  </conditionalFormatting>
  <conditionalFormatting sqref="W230:X230">
    <cfRule type="cellIs" dxfId="1951" priority="451" operator="greaterThan">
      <formula>0.03</formula>
    </cfRule>
    <cfRule type="cellIs" dxfId="1950" priority="452" stopIfTrue="1" operator="lessThan">
      <formula>-0.03</formula>
    </cfRule>
  </conditionalFormatting>
  <conditionalFormatting sqref="W234:X234">
    <cfRule type="cellIs" dxfId="1949" priority="449" operator="greaterThan">
      <formula>0.03</formula>
    </cfRule>
    <cfRule type="cellIs" dxfId="1948" priority="450" stopIfTrue="1" operator="lessThan">
      <formula>-0.03</formula>
    </cfRule>
  </conditionalFormatting>
  <conditionalFormatting sqref="W238:X238">
    <cfRule type="cellIs" dxfId="1947" priority="447" operator="greaterThan">
      <formula>0.03</formula>
    </cfRule>
    <cfRule type="cellIs" dxfId="1946" priority="448" stopIfTrue="1" operator="lessThan">
      <formula>-0.03</formula>
    </cfRule>
  </conditionalFormatting>
  <conditionalFormatting sqref="W242:X242">
    <cfRule type="cellIs" dxfId="1945" priority="445" operator="greaterThan">
      <formula>0.03</formula>
    </cfRule>
    <cfRule type="cellIs" dxfId="1944" priority="446" stopIfTrue="1" operator="lessThan">
      <formula>-0.03</formula>
    </cfRule>
  </conditionalFormatting>
  <conditionalFormatting sqref="W246:X246">
    <cfRule type="cellIs" dxfId="1943" priority="443" operator="greaterThan">
      <formula>0.03</formula>
    </cfRule>
    <cfRule type="cellIs" dxfId="1942" priority="444" stopIfTrue="1" operator="lessThan">
      <formula>-0.03</formula>
    </cfRule>
  </conditionalFormatting>
  <conditionalFormatting sqref="W250:X250">
    <cfRule type="cellIs" dxfId="1941" priority="441" operator="greaterThan">
      <formula>0.03</formula>
    </cfRule>
    <cfRule type="cellIs" dxfId="1940" priority="442" stopIfTrue="1" operator="lessThan">
      <formula>-0.03</formula>
    </cfRule>
  </conditionalFormatting>
  <conditionalFormatting sqref="W254:X254">
    <cfRule type="cellIs" dxfId="1939" priority="439" operator="greaterThan">
      <formula>0.03</formula>
    </cfRule>
    <cfRule type="cellIs" dxfId="1938" priority="440" stopIfTrue="1" operator="lessThan">
      <formula>-0.03</formula>
    </cfRule>
  </conditionalFormatting>
  <conditionalFormatting sqref="W258:X258">
    <cfRule type="cellIs" dxfId="1937" priority="437" operator="greaterThan">
      <formula>0.03</formula>
    </cfRule>
    <cfRule type="cellIs" dxfId="1936" priority="438" stopIfTrue="1" operator="lessThan">
      <formula>-0.03</formula>
    </cfRule>
  </conditionalFormatting>
  <conditionalFormatting sqref="W262:X262">
    <cfRule type="cellIs" dxfId="1935" priority="435" operator="greaterThan">
      <formula>0.03</formula>
    </cfRule>
    <cfRule type="cellIs" dxfId="1934" priority="436" stopIfTrue="1" operator="lessThan">
      <formula>-0.03</formula>
    </cfRule>
  </conditionalFormatting>
  <conditionalFormatting sqref="T211">
    <cfRule type="cellIs" dxfId="1933" priority="433" operator="greaterThan">
      <formula>0.03</formula>
    </cfRule>
    <cfRule type="cellIs" dxfId="1932" priority="434" stopIfTrue="1" operator="lessThan">
      <formula>-0.03</formula>
    </cfRule>
  </conditionalFormatting>
  <conditionalFormatting sqref="T264:V314 U263:V263">
    <cfRule type="cellIs" dxfId="1931" priority="431" operator="greaterThan">
      <formula>0.03</formula>
    </cfRule>
    <cfRule type="cellIs" dxfId="1930" priority="432" stopIfTrue="1" operator="lessThan">
      <formula>-0.03</formula>
    </cfRule>
  </conditionalFormatting>
  <conditionalFormatting sqref="W263">
    <cfRule type="cellIs" dxfId="1929" priority="429" operator="greaterThan">
      <formula>0.03</formula>
    </cfRule>
    <cfRule type="cellIs" dxfId="1928" priority="430" stopIfTrue="1" operator="lessThan">
      <formula>-0.03</formula>
    </cfRule>
  </conditionalFormatting>
  <conditionalFormatting sqref="X263">
    <cfRule type="cellIs" dxfId="1927" priority="427" operator="greaterThan">
      <formula>0.03</formula>
    </cfRule>
    <cfRule type="cellIs" dxfId="1926" priority="428" stopIfTrue="1" operator="lessThan">
      <formula>-0.03</formula>
    </cfRule>
  </conditionalFormatting>
  <conditionalFormatting sqref="Y263">
    <cfRule type="cellIs" dxfId="1925" priority="425" operator="greaterThan">
      <formula>0.03</formula>
    </cfRule>
    <cfRule type="cellIs" dxfId="1924" priority="426" stopIfTrue="1" operator="lessThan">
      <formula>-0.03</formula>
    </cfRule>
  </conditionalFormatting>
  <conditionalFormatting sqref="W267">
    <cfRule type="cellIs" dxfId="1923" priority="423" operator="greaterThan">
      <formula>0.03</formula>
    </cfRule>
    <cfRule type="cellIs" dxfId="1922" priority="424" stopIfTrue="1" operator="lessThan">
      <formula>-0.03</formula>
    </cfRule>
  </conditionalFormatting>
  <conditionalFormatting sqref="X267">
    <cfRule type="cellIs" dxfId="1921" priority="421" operator="greaterThan">
      <formula>0.03</formula>
    </cfRule>
    <cfRule type="cellIs" dxfId="1920" priority="422" stopIfTrue="1" operator="lessThan">
      <formula>-0.03</formula>
    </cfRule>
  </conditionalFormatting>
  <conditionalFormatting sqref="Y267">
    <cfRule type="cellIs" dxfId="1919" priority="419" operator="greaterThan">
      <formula>0.03</formula>
    </cfRule>
    <cfRule type="cellIs" dxfId="1918" priority="420" stopIfTrue="1" operator="lessThan">
      <formula>-0.03</formula>
    </cfRule>
  </conditionalFormatting>
  <conditionalFormatting sqref="W271">
    <cfRule type="cellIs" dxfId="1917" priority="417" operator="greaterThan">
      <formula>0.03</formula>
    </cfRule>
    <cfRule type="cellIs" dxfId="1916" priority="418" stopIfTrue="1" operator="lessThan">
      <formula>-0.03</formula>
    </cfRule>
  </conditionalFormatting>
  <conditionalFormatting sqref="X271">
    <cfRule type="cellIs" dxfId="1915" priority="415" operator="greaterThan">
      <formula>0.03</formula>
    </cfRule>
    <cfRule type="cellIs" dxfId="1914" priority="416" stopIfTrue="1" operator="lessThan">
      <formula>-0.03</formula>
    </cfRule>
  </conditionalFormatting>
  <conditionalFormatting sqref="Y271">
    <cfRule type="cellIs" dxfId="1913" priority="413" operator="greaterThan">
      <formula>0.03</formula>
    </cfRule>
    <cfRule type="cellIs" dxfId="1912" priority="414" stopIfTrue="1" operator="lessThan">
      <formula>-0.03</formula>
    </cfRule>
  </conditionalFormatting>
  <conditionalFormatting sqref="W275">
    <cfRule type="cellIs" dxfId="1911" priority="411" operator="greaterThan">
      <formula>0.03</formula>
    </cfRule>
    <cfRule type="cellIs" dxfId="1910" priority="412" stopIfTrue="1" operator="lessThan">
      <formula>-0.03</formula>
    </cfRule>
  </conditionalFormatting>
  <conditionalFormatting sqref="X275">
    <cfRule type="cellIs" dxfId="1909" priority="409" operator="greaterThan">
      <formula>0.03</formula>
    </cfRule>
    <cfRule type="cellIs" dxfId="1908" priority="410" stopIfTrue="1" operator="lessThan">
      <formula>-0.03</formula>
    </cfRule>
  </conditionalFormatting>
  <conditionalFormatting sqref="Y275">
    <cfRule type="cellIs" dxfId="1907" priority="407" operator="greaterThan">
      <formula>0.03</formula>
    </cfRule>
    <cfRule type="cellIs" dxfId="1906" priority="408" stopIfTrue="1" operator="lessThan">
      <formula>-0.03</formula>
    </cfRule>
  </conditionalFormatting>
  <conditionalFormatting sqref="W279">
    <cfRule type="cellIs" dxfId="1905" priority="405" operator="greaterThan">
      <formula>0.03</formula>
    </cfRule>
    <cfRule type="cellIs" dxfId="1904" priority="406" stopIfTrue="1" operator="lessThan">
      <formula>-0.03</formula>
    </cfRule>
  </conditionalFormatting>
  <conditionalFormatting sqref="X279">
    <cfRule type="cellIs" dxfId="1903" priority="403" operator="greaterThan">
      <formula>0.03</formula>
    </cfRule>
    <cfRule type="cellIs" dxfId="1902" priority="404" stopIfTrue="1" operator="lessThan">
      <formula>-0.03</formula>
    </cfRule>
  </conditionalFormatting>
  <conditionalFormatting sqref="Y279">
    <cfRule type="cellIs" dxfId="1901" priority="401" operator="greaterThan">
      <formula>0.03</formula>
    </cfRule>
    <cfRule type="cellIs" dxfId="1900" priority="402" stopIfTrue="1" operator="lessThan">
      <formula>-0.03</formula>
    </cfRule>
  </conditionalFormatting>
  <conditionalFormatting sqref="W283">
    <cfRule type="cellIs" dxfId="1899" priority="399" operator="greaterThan">
      <formula>0.03</formula>
    </cfRule>
    <cfRule type="cellIs" dxfId="1898" priority="400" stopIfTrue="1" operator="lessThan">
      <formula>-0.03</formula>
    </cfRule>
  </conditionalFormatting>
  <conditionalFormatting sqref="X283">
    <cfRule type="cellIs" dxfId="1897" priority="397" operator="greaterThan">
      <formula>0.03</formula>
    </cfRule>
    <cfRule type="cellIs" dxfId="1896" priority="398" stopIfTrue="1" operator="lessThan">
      <formula>-0.03</formula>
    </cfRule>
  </conditionalFormatting>
  <conditionalFormatting sqref="Y283">
    <cfRule type="cellIs" dxfId="1895" priority="395" operator="greaterThan">
      <formula>0.03</formula>
    </cfRule>
    <cfRule type="cellIs" dxfId="1894" priority="396" stopIfTrue="1" operator="lessThan">
      <formula>-0.03</formula>
    </cfRule>
  </conditionalFormatting>
  <conditionalFormatting sqref="W287">
    <cfRule type="cellIs" dxfId="1893" priority="393" operator="greaterThan">
      <formula>0.03</formula>
    </cfRule>
    <cfRule type="cellIs" dxfId="1892" priority="394" stopIfTrue="1" operator="lessThan">
      <formula>-0.03</formula>
    </cfRule>
  </conditionalFormatting>
  <conditionalFormatting sqref="X287">
    <cfRule type="cellIs" dxfId="1891" priority="391" operator="greaterThan">
      <formula>0.03</formula>
    </cfRule>
    <cfRule type="cellIs" dxfId="1890" priority="392" stopIfTrue="1" operator="lessThan">
      <formula>-0.03</formula>
    </cfRule>
  </conditionalFormatting>
  <conditionalFormatting sqref="Y287">
    <cfRule type="cellIs" dxfId="1889" priority="389" operator="greaterThan">
      <formula>0.03</formula>
    </cfRule>
    <cfRule type="cellIs" dxfId="1888" priority="390" stopIfTrue="1" operator="lessThan">
      <formula>-0.03</formula>
    </cfRule>
  </conditionalFormatting>
  <conditionalFormatting sqref="W291">
    <cfRule type="cellIs" dxfId="1887" priority="387" operator="greaterThan">
      <formula>0.03</formula>
    </cfRule>
    <cfRule type="cellIs" dxfId="1886" priority="388" stopIfTrue="1" operator="lessThan">
      <formula>-0.03</formula>
    </cfRule>
  </conditionalFormatting>
  <conditionalFormatting sqref="X291">
    <cfRule type="cellIs" dxfId="1885" priority="385" operator="greaterThan">
      <formula>0.03</formula>
    </cfRule>
    <cfRule type="cellIs" dxfId="1884" priority="386" stopIfTrue="1" operator="lessThan">
      <formula>-0.03</formula>
    </cfRule>
  </conditionalFormatting>
  <conditionalFormatting sqref="Y291">
    <cfRule type="cellIs" dxfId="1883" priority="383" operator="greaterThan">
      <formula>0.03</formula>
    </cfRule>
    <cfRule type="cellIs" dxfId="1882" priority="384" stopIfTrue="1" operator="lessThan">
      <formula>-0.03</formula>
    </cfRule>
  </conditionalFormatting>
  <conditionalFormatting sqref="W295">
    <cfRule type="cellIs" dxfId="1881" priority="381" operator="greaterThan">
      <formula>0.03</formula>
    </cfRule>
    <cfRule type="cellIs" dxfId="1880" priority="382" stopIfTrue="1" operator="lessThan">
      <formula>-0.03</formula>
    </cfRule>
  </conditionalFormatting>
  <conditionalFormatting sqref="X295">
    <cfRule type="cellIs" dxfId="1879" priority="379" operator="greaterThan">
      <formula>0.03</formula>
    </cfRule>
    <cfRule type="cellIs" dxfId="1878" priority="380" stopIfTrue="1" operator="lessThan">
      <formula>-0.03</formula>
    </cfRule>
  </conditionalFormatting>
  <conditionalFormatting sqref="Y295">
    <cfRule type="cellIs" dxfId="1877" priority="377" operator="greaterThan">
      <formula>0.03</formula>
    </cfRule>
    <cfRule type="cellIs" dxfId="1876" priority="378" stopIfTrue="1" operator="lessThan">
      <formula>-0.03</formula>
    </cfRule>
  </conditionalFormatting>
  <conditionalFormatting sqref="W299">
    <cfRule type="cellIs" dxfId="1875" priority="375" operator="greaterThan">
      <formula>0.03</formula>
    </cfRule>
    <cfRule type="cellIs" dxfId="1874" priority="376" stopIfTrue="1" operator="lessThan">
      <formula>-0.03</formula>
    </cfRule>
  </conditionalFormatting>
  <conditionalFormatting sqref="X299">
    <cfRule type="cellIs" dxfId="1873" priority="373" operator="greaterThan">
      <formula>0.03</formula>
    </cfRule>
    <cfRule type="cellIs" dxfId="1872" priority="374" stopIfTrue="1" operator="lessThan">
      <formula>-0.03</formula>
    </cfRule>
  </conditionalFormatting>
  <conditionalFormatting sqref="Y299">
    <cfRule type="cellIs" dxfId="1871" priority="371" operator="greaterThan">
      <formula>0.03</formula>
    </cfRule>
    <cfRule type="cellIs" dxfId="1870" priority="372" stopIfTrue="1" operator="lessThan">
      <formula>-0.03</formula>
    </cfRule>
  </conditionalFormatting>
  <conditionalFormatting sqref="W303">
    <cfRule type="cellIs" dxfId="1869" priority="369" operator="greaterThan">
      <formula>0.03</formula>
    </cfRule>
    <cfRule type="cellIs" dxfId="1868" priority="370" stopIfTrue="1" operator="lessThan">
      <formula>-0.03</formula>
    </cfRule>
  </conditionalFormatting>
  <conditionalFormatting sqref="X303">
    <cfRule type="cellIs" dxfId="1867" priority="367" operator="greaterThan">
      <formula>0.03</formula>
    </cfRule>
    <cfRule type="cellIs" dxfId="1866" priority="368" stopIfTrue="1" operator="lessThan">
      <formula>-0.03</formula>
    </cfRule>
  </conditionalFormatting>
  <conditionalFormatting sqref="Y303">
    <cfRule type="cellIs" dxfId="1865" priority="365" operator="greaterThan">
      <formula>0.03</formula>
    </cfRule>
    <cfRule type="cellIs" dxfId="1864" priority="366" stopIfTrue="1" operator="lessThan">
      <formula>-0.03</formula>
    </cfRule>
  </conditionalFormatting>
  <conditionalFormatting sqref="W307">
    <cfRule type="cellIs" dxfId="1863" priority="363" operator="greaterThan">
      <formula>0.03</formula>
    </cfRule>
    <cfRule type="cellIs" dxfId="1862" priority="364" stopIfTrue="1" operator="lessThan">
      <formula>-0.03</formula>
    </cfRule>
  </conditionalFormatting>
  <conditionalFormatting sqref="X307">
    <cfRule type="cellIs" dxfId="1861" priority="361" operator="greaterThan">
      <formula>0.03</formula>
    </cfRule>
    <cfRule type="cellIs" dxfId="1860" priority="362" stopIfTrue="1" operator="lessThan">
      <formula>-0.03</formula>
    </cfRule>
  </conditionalFormatting>
  <conditionalFormatting sqref="Y307">
    <cfRule type="cellIs" dxfId="1859" priority="359" operator="greaterThan">
      <formula>0.03</formula>
    </cfRule>
    <cfRule type="cellIs" dxfId="1858" priority="360" stopIfTrue="1" operator="lessThan">
      <formula>-0.03</formula>
    </cfRule>
  </conditionalFormatting>
  <conditionalFormatting sqref="W311">
    <cfRule type="cellIs" dxfId="1857" priority="357" operator="greaterThan">
      <formula>0.03</formula>
    </cfRule>
    <cfRule type="cellIs" dxfId="1856" priority="358" stopIfTrue="1" operator="lessThan">
      <formula>-0.03</formula>
    </cfRule>
  </conditionalFormatting>
  <conditionalFormatting sqref="X311">
    <cfRule type="cellIs" dxfId="1855" priority="355" operator="greaterThan">
      <formula>0.03</formula>
    </cfRule>
    <cfRule type="cellIs" dxfId="1854" priority="356" stopIfTrue="1" operator="lessThan">
      <formula>-0.03</formula>
    </cfRule>
  </conditionalFormatting>
  <conditionalFormatting sqref="Y311">
    <cfRule type="cellIs" dxfId="1853" priority="353" operator="greaterThan">
      <formula>0.03</formula>
    </cfRule>
    <cfRule type="cellIs" dxfId="1852" priority="354" stopIfTrue="1" operator="lessThan">
      <formula>-0.03</formula>
    </cfRule>
  </conditionalFormatting>
  <conditionalFormatting sqref="W266:X266">
    <cfRule type="cellIs" dxfId="1851" priority="351" operator="greaterThan">
      <formula>0.03</formula>
    </cfRule>
    <cfRule type="cellIs" dxfId="1850" priority="352" stopIfTrue="1" operator="lessThan">
      <formula>-0.03</formula>
    </cfRule>
  </conditionalFormatting>
  <conditionalFormatting sqref="W270:X270">
    <cfRule type="cellIs" dxfId="1849" priority="349" operator="greaterThan">
      <formula>0.03</formula>
    </cfRule>
    <cfRule type="cellIs" dxfId="1848" priority="350" stopIfTrue="1" operator="lessThan">
      <formula>-0.03</formula>
    </cfRule>
  </conditionalFormatting>
  <conditionalFormatting sqref="W274:X274">
    <cfRule type="cellIs" dxfId="1847" priority="347" operator="greaterThan">
      <formula>0.03</formula>
    </cfRule>
    <cfRule type="cellIs" dxfId="1846" priority="348" stopIfTrue="1" operator="lessThan">
      <formula>-0.03</formula>
    </cfRule>
  </conditionalFormatting>
  <conditionalFormatting sqref="W278:X278">
    <cfRule type="cellIs" dxfId="1845" priority="345" operator="greaterThan">
      <formula>0.03</formula>
    </cfRule>
    <cfRule type="cellIs" dxfId="1844" priority="346" stopIfTrue="1" operator="lessThan">
      <formula>-0.03</formula>
    </cfRule>
  </conditionalFormatting>
  <conditionalFormatting sqref="W282:X282">
    <cfRule type="cellIs" dxfId="1843" priority="343" operator="greaterThan">
      <formula>0.03</formula>
    </cfRule>
    <cfRule type="cellIs" dxfId="1842" priority="344" stopIfTrue="1" operator="lessThan">
      <formula>-0.03</formula>
    </cfRule>
  </conditionalFormatting>
  <conditionalFormatting sqref="W286:X286">
    <cfRule type="cellIs" dxfId="1841" priority="341" operator="greaterThan">
      <formula>0.03</formula>
    </cfRule>
    <cfRule type="cellIs" dxfId="1840" priority="342" stopIfTrue="1" operator="lessThan">
      <formula>-0.03</formula>
    </cfRule>
  </conditionalFormatting>
  <conditionalFormatting sqref="W290:X290">
    <cfRule type="cellIs" dxfId="1839" priority="339" operator="greaterThan">
      <formula>0.03</formula>
    </cfRule>
    <cfRule type="cellIs" dxfId="1838" priority="340" stopIfTrue="1" operator="lessThan">
      <formula>-0.03</formula>
    </cfRule>
  </conditionalFormatting>
  <conditionalFormatting sqref="W294:X294">
    <cfRule type="cellIs" dxfId="1837" priority="337" operator="greaterThan">
      <formula>0.03</formula>
    </cfRule>
    <cfRule type="cellIs" dxfId="1836" priority="338" stopIfTrue="1" operator="lessThan">
      <formula>-0.03</formula>
    </cfRule>
  </conditionalFormatting>
  <conditionalFormatting sqref="W298:X298">
    <cfRule type="cellIs" dxfId="1835" priority="335" operator="greaterThan">
      <formula>0.03</formula>
    </cfRule>
    <cfRule type="cellIs" dxfId="1834" priority="336" stopIfTrue="1" operator="lessThan">
      <formula>-0.03</formula>
    </cfRule>
  </conditionalFormatting>
  <conditionalFormatting sqref="W302:X302">
    <cfRule type="cellIs" dxfId="1833" priority="333" operator="greaterThan">
      <formula>0.03</formula>
    </cfRule>
    <cfRule type="cellIs" dxfId="1832" priority="334" stopIfTrue="1" operator="lessThan">
      <formula>-0.03</formula>
    </cfRule>
  </conditionalFormatting>
  <conditionalFormatting sqref="W306:X306">
    <cfRule type="cellIs" dxfId="1831" priority="331" operator="greaterThan">
      <formula>0.03</formula>
    </cfRule>
    <cfRule type="cellIs" dxfId="1830" priority="332" stopIfTrue="1" operator="lessThan">
      <formula>-0.03</formula>
    </cfRule>
  </conditionalFormatting>
  <conditionalFormatting sqref="W310:X310">
    <cfRule type="cellIs" dxfId="1829" priority="329" operator="greaterThan">
      <formula>0.03</formula>
    </cfRule>
    <cfRule type="cellIs" dxfId="1828" priority="330" stopIfTrue="1" operator="lessThan">
      <formula>-0.03</formula>
    </cfRule>
  </conditionalFormatting>
  <conditionalFormatting sqref="W314:X314">
    <cfRule type="cellIs" dxfId="1827" priority="327" operator="greaterThan">
      <formula>0.03</formula>
    </cfRule>
    <cfRule type="cellIs" dxfId="1826" priority="328" stopIfTrue="1" operator="lessThan">
      <formula>-0.03</formula>
    </cfRule>
  </conditionalFormatting>
  <conditionalFormatting sqref="T263">
    <cfRule type="cellIs" dxfId="1825" priority="325" operator="greaterThan">
      <formula>0.03</formula>
    </cfRule>
    <cfRule type="cellIs" dxfId="1824" priority="326" stopIfTrue="1" operator="lessThan">
      <formula>-0.03</formula>
    </cfRule>
  </conditionalFormatting>
  <conditionalFormatting sqref="T316:V366 U315:V315">
    <cfRule type="cellIs" dxfId="1823" priority="323" operator="greaterThan">
      <formula>0.03</formula>
    </cfRule>
    <cfRule type="cellIs" dxfId="1822" priority="324" stopIfTrue="1" operator="lessThan">
      <formula>-0.03</formula>
    </cfRule>
  </conditionalFormatting>
  <conditionalFormatting sqref="W315">
    <cfRule type="cellIs" dxfId="1821" priority="321" operator="greaterThan">
      <formula>0.03</formula>
    </cfRule>
    <cfRule type="cellIs" dxfId="1820" priority="322" stopIfTrue="1" operator="lessThan">
      <formula>-0.03</formula>
    </cfRule>
  </conditionalFormatting>
  <conditionalFormatting sqref="X315">
    <cfRule type="cellIs" dxfId="1819" priority="319" operator="greaterThan">
      <formula>0.03</formula>
    </cfRule>
    <cfRule type="cellIs" dxfId="1818" priority="320" stopIfTrue="1" operator="lessThan">
      <formula>-0.03</formula>
    </cfRule>
  </conditionalFormatting>
  <conditionalFormatting sqref="Y315">
    <cfRule type="cellIs" dxfId="1817" priority="317" operator="greaterThan">
      <formula>0.03</formula>
    </cfRule>
    <cfRule type="cellIs" dxfId="1816" priority="318" stopIfTrue="1" operator="lessThan">
      <formula>-0.03</formula>
    </cfRule>
  </conditionalFormatting>
  <conditionalFormatting sqref="W319">
    <cfRule type="cellIs" dxfId="1815" priority="315" operator="greaterThan">
      <formula>0.03</formula>
    </cfRule>
    <cfRule type="cellIs" dxfId="1814" priority="316" stopIfTrue="1" operator="lessThan">
      <formula>-0.03</formula>
    </cfRule>
  </conditionalFormatting>
  <conditionalFormatting sqref="X319">
    <cfRule type="cellIs" dxfId="1813" priority="313" operator="greaterThan">
      <formula>0.03</formula>
    </cfRule>
    <cfRule type="cellIs" dxfId="1812" priority="314" stopIfTrue="1" operator="lessThan">
      <formula>-0.03</formula>
    </cfRule>
  </conditionalFormatting>
  <conditionalFormatting sqref="Y319">
    <cfRule type="cellIs" dxfId="1811" priority="311" operator="greaterThan">
      <formula>0.03</formula>
    </cfRule>
    <cfRule type="cellIs" dxfId="1810" priority="312" stopIfTrue="1" operator="lessThan">
      <formula>-0.03</formula>
    </cfRule>
  </conditionalFormatting>
  <conditionalFormatting sqref="W323">
    <cfRule type="cellIs" dxfId="1809" priority="309" operator="greaterThan">
      <formula>0.03</formula>
    </cfRule>
    <cfRule type="cellIs" dxfId="1808" priority="310" stopIfTrue="1" operator="lessThan">
      <formula>-0.03</formula>
    </cfRule>
  </conditionalFormatting>
  <conditionalFormatting sqref="X323">
    <cfRule type="cellIs" dxfId="1807" priority="307" operator="greaterThan">
      <formula>0.03</formula>
    </cfRule>
    <cfRule type="cellIs" dxfId="1806" priority="308" stopIfTrue="1" operator="lessThan">
      <formula>-0.03</formula>
    </cfRule>
  </conditionalFormatting>
  <conditionalFormatting sqref="Y323">
    <cfRule type="cellIs" dxfId="1805" priority="305" operator="greaterThan">
      <formula>0.03</formula>
    </cfRule>
    <cfRule type="cellIs" dxfId="1804" priority="306" stopIfTrue="1" operator="lessThan">
      <formula>-0.03</formula>
    </cfRule>
  </conditionalFormatting>
  <conditionalFormatting sqref="W327">
    <cfRule type="cellIs" dxfId="1803" priority="303" operator="greaterThan">
      <formula>0.03</formula>
    </cfRule>
    <cfRule type="cellIs" dxfId="1802" priority="304" stopIfTrue="1" operator="lessThan">
      <formula>-0.03</formula>
    </cfRule>
  </conditionalFormatting>
  <conditionalFormatting sqref="X327">
    <cfRule type="cellIs" dxfId="1801" priority="301" operator="greaterThan">
      <formula>0.03</formula>
    </cfRule>
    <cfRule type="cellIs" dxfId="1800" priority="302" stopIfTrue="1" operator="lessThan">
      <formula>-0.03</formula>
    </cfRule>
  </conditionalFormatting>
  <conditionalFormatting sqref="Y327">
    <cfRule type="cellIs" dxfId="1799" priority="299" operator="greaterThan">
      <formula>0.03</formula>
    </cfRule>
    <cfRule type="cellIs" dxfId="1798" priority="300" stopIfTrue="1" operator="lessThan">
      <formula>-0.03</formula>
    </cfRule>
  </conditionalFormatting>
  <conditionalFormatting sqref="W331">
    <cfRule type="cellIs" dxfId="1797" priority="297" operator="greaterThan">
      <formula>0.03</formula>
    </cfRule>
    <cfRule type="cellIs" dxfId="1796" priority="298" stopIfTrue="1" operator="lessThan">
      <formula>-0.03</formula>
    </cfRule>
  </conditionalFormatting>
  <conditionalFormatting sqref="X331">
    <cfRule type="cellIs" dxfId="1795" priority="295" operator="greaterThan">
      <formula>0.03</formula>
    </cfRule>
    <cfRule type="cellIs" dxfId="1794" priority="296" stopIfTrue="1" operator="lessThan">
      <formula>-0.03</formula>
    </cfRule>
  </conditionalFormatting>
  <conditionalFormatting sqref="Y331">
    <cfRule type="cellIs" dxfId="1793" priority="293" operator="greaterThan">
      <formula>0.03</formula>
    </cfRule>
    <cfRule type="cellIs" dxfId="1792" priority="294" stopIfTrue="1" operator="lessThan">
      <formula>-0.03</formula>
    </cfRule>
  </conditionalFormatting>
  <conditionalFormatting sqref="W335">
    <cfRule type="cellIs" dxfId="1791" priority="291" operator="greaterThan">
      <formula>0.03</formula>
    </cfRule>
    <cfRule type="cellIs" dxfId="1790" priority="292" stopIfTrue="1" operator="lessThan">
      <formula>-0.03</formula>
    </cfRule>
  </conditionalFormatting>
  <conditionalFormatting sqref="X335">
    <cfRule type="cellIs" dxfId="1789" priority="289" operator="greaterThan">
      <formula>0.03</formula>
    </cfRule>
    <cfRule type="cellIs" dxfId="1788" priority="290" stopIfTrue="1" operator="lessThan">
      <formula>-0.03</formula>
    </cfRule>
  </conditionalFormatting>
  <conditionalFormatting sqref="Y335">
    <cfRule type="cellIs" dxfId="1787" priority="287" operator="greaterThan">
      <formula>0.03</formula>
    </cfRule>
    <cfRule type="cellIs" dxfId="1786" priority="288" stopIfTrue="1" operator="lessThan">
      <formula>-0.03</formula>
    </cfRule>
  </conditionalFormatting>
  <conditionalFormatting sqref="W339">
    <cfRule type="cellIs" dxfId="1785" priority="285" operator="greaterThan">
      <formula>0.03</formula>
    </cfRule>
    <cfRule type="cellIs" dxfId="1784" priority="286" stopIfTrue="1" operator="lessThan">
      <formula>-0.03</formula>
    </cfRule>
  </conditionalFormatting>
  <conditionalFormatting sqref="X339">
    <cfRule type="cellIs" dxfId="1783" priority="283" operator="greaterThan">
      <formula>0.03</formula>
    </cfRule>
    <cfRule type="cellIs" dxfId="1782" priority="284" stopIfTrue="1" operator="lessThan">
      <formula>-0.03</formula>
    </cfRule>
  </conditionalFormatting>
  <conditionalFormatting sqref="Y339">
    <cfRule type="cellIs" dxfId="1781" priority="281" operator="greaterThan">
      <formula>0.03</formula>
    </cfRule>
    <cfRule type="cellIs" dxfId="1780" priority="282" stopIfTrue="1" operator="lessThan">
      <formula>-0.03</formula>
    </cfRule>
  </conditionalFormatting>
  <conditionalFormatting sqref="W343">
    <cfRule type="cellIs" dxfId="1779" priority="279" operator="greaterThan">
      <formula>0.03</formula>
    </cfRule>
    <cfRule type="cellIs" dxfId="1778" priority="280" stopIfTrue="1" operator="lessThan">
      <formula>-0.03</formula>
    </cfRule>
  </conditionalFormatting>
  <conditionalFormatting sqref="X343">
    <cfRule type="cellIs" dxfId="1777" priority="277" operator="greaterThan">
      <formula>0.03</formula>
    </cfRule>
    <cfRule type="cellIs" dxfId="1776" priority="278" stopIfTrue="1" operator="lessThan">
      <formula>-0.03</formula>
    </cfRule>
  </conditionalFormatting>
  <conditionalFormatting sqref="Y343">
    <cfRule type="cellIs" dxfId="1775" priority="275" operator="greaterThan">
      <formula>0.03</formula>
    </cfRule>
    <cfRule type="cellIs" dxfId="1774" priority="276" stopIfTrue="1" operator="lessThan">
      <formula>-0.03</formula>
    </cfRule>
  </conditionalFormatting>
  <conditionalFormatting sqref="W347">
    <cfRule type="cellIs" dxfId="1773" priority="273" operator="greaterThan">
      <formula>0.03</formula>
    </cfRule>
    <cfRule type="cellIs" dxfId="1772" priority="274" stopIfTrue="1" operator="lessThan">
      <formula>-0.03</formula>
    </cfRule>
  </conditionalFormatting>
  <conditionalFormatting sqref="X347">
    <cfRule type="cellIs" dxfId="1771" priority="271" operator="greaterThan">
      <formula>0.03</formula>
    </cfRule>
    <cfRule type="cellIs" dxfId="1770" priority="272" stopIfTrue="1" operator="lessThan">
      <formula>-0.03</formula>
    </cfRule>
  </conditionalFormatting>
  <conditionalFormatting sqref="Y347">
    <cfRule type="cellIs" dxfId="1769" priority="269" operator="greaterThan">
      <formula>0.03</formula>
    </cfRule>
    <cfRule type="cellIs" dxfId="1768" priority="270" stopIfTrue="1" operator="lessThan">
      <formula>-0.03</formula>
    </cfRule>
  </conditionalFormatting>
  <conditionalFormatting sqref="W351">
    <cfRule type="cellIs" dxfId="1767" priority="267" operator="greaterThan">
      <formula>0.03</formula>
    </cfRule>
    <cfRule type="cellIs" dxfId="1766" priority="268" stopIfTrue="1" operator="lessThan">
      <formula>-0.03</formula>
    </cfRule>
  </conditionalFormatting>
  <conditionalFormatting sqref="X351">
    <cfRule type="cellIs" dxfId="1765" priority="265" operator="greaterThan">
      <formula>0.03</formula>
    </cfRule>
    <cfRule type="cellIs" dxfId="1764" priority="266" stopIfTrue="1" operator="lessThan">
      <formula>-0.03</formula>
    </cfRule>
  </conditionalFormatting>
  <conditionalFormatting sqref="Y351">
    <cfRule type="cellIs" dxfId="1763" priority="263" operator="greaterThan">
      <formula>0.03</formula>
    </cfRule>
    <cfRule type="cellIs" dxfId="1762" priority="264" stopIfTrue="1" operator="lessThan">
      <formula>-0.03</formula>
    </cfRule>
  </conditionalFormatting>
  <conditionalFormatting sqref="W355">
    <cfRule type="cellIs" dxfId="1761" priority="261" operator="greaterThan">
      <formula>0.03</formula>
    </cfRule>
    <cfRule type="cellIs" dxfId="1760" priority="262" stopIfTrue="1" operator="lessThan">
      <formula>-0.03</formula>
    </cfRule>
  </conditionalFormatting>
  <conditionalFormatting sqref="X355">
    <cfRule type="cellIs" dxfId="1759" priority="259" operator="greaterThan">
      <formula>0.03</formula>
    </cfRule>
    <cfRule type="cellIs" dxfId="1758" priority="260" stopIfTrue="1" operator="lessThan">
      <formula>-0.03</formula>
    </cfRule>
  </conditionalFormatting>
  <conditionalFormatting sqref="Y355">
    <cfRule type="cellIs" dxfId="1757" priority="257" operator="greaterThan">
      <formula>0.03</formula>
    </cfRule>
    <cfRule type="cellIs" dxfId="1756" priority="258" stopIfTrue="1" operator="lessThan">
      <formula>-0.03</formula>
    </cfRule>
  </conditionalFormatting>
  <conditionalFormatting sqref="W359">
    <cfRule type="cellIs" dxfId="1755" priority="255" operator="greaterThan">
      <formula>0.03</formula>
    </cfRule>
    <cfRule type="cellIs" dxfId="1754" priority="256" stopIfTrue="1" operator="lessThan">
      <formula>-0.03</formula>
    </cfRule>
  </conditionalFormatting>
  <conditionalFormatting sqref="X359">
    <cfRule type="cellIs" dxfId="1753" priority="253" operator="greaterThan">
      <formula>0.03</formula>
    </cfRule>
    <cfRule type="cellIs" dxfId="1752" priority="254" stopIfTrue="1" operator="lessThan">
      <formula>-0.03</formula>
    </cfRule>
  </conditionalFormatting>
  <conditionalFormatting sqref="Y359">
    <cfRule type="cellIs" dxfId="1751" priority="251" operator="greaterThan">
      <formula>0.03</formula>
    </cfRule>
    <cfRule type="cellIs" dxfId="1750" priority="252" stopIfTrue="1" operator="lessThan">
      <formula>-0.03</formula>
    </cfRule>
  </conditionalFormatting>
  <conditionalFormatting sqref="W363">
    <cfRule type="cellIs" dxfId="1749" priority="249" operator="greaterThan">
      <formula>0.03</formula>
    </cfRule>
    <cfRule type="cellIs" dxfId="1748" priority="250" stopIfTrue="1" operator="lessThan">
      <formula>-0.03</formula>
    </cfRule>
  </conditionalFormatting>
  <conditionalFormatting sqref="X363">
    <cfRule type="cellIs" dxfId="1747" priority="247" operator="greaterThan">
      <formula>0.03</formula>
    </cfRule>
    <cfRule type="cellIs" dxfId="1746" priority="248" stopIfTrue="1" operator="lessThan">
      <formula>-0.03</formula>
    </cfRule>
  </conditionalFormatting>
  <conditionalFormatting sqref="Y363">
    <cfRule type="cellIs" dxfId="1745" priority="245" operator="greaterThan">
      <formula>0.03</formula>
    </cfRule>
    <cfRule type="cellIs" dxfId="1744" priority="246" stopIfTrue="1" operator="lessThan">
      <formula>-0.03</formula>
    </cfRule>
  </conditionalFormatting>
  <conditionalFormatting sqref="W318:X318">
    <cfRule type="cellIs" dxfId="1743" priority="243" operator="greaterThan">
      <formula>0.03</formula>
    </cfRule>
    <cfRule type="cellIs" dxfId="1742" priority="244" stopIfTrue="1" operator="lessThan">
      <formula>-0.03</formula>
    </cfRule>
  </conditionalFormatting>
  <conditionalFormatting sqref="W322:X322">
    <cfRule type="cellIs" dxfId="1741" priority="241" operator="greaterThan">
      <formula>0.03</formula>
    </cfRule>
    <cfRule type="cellIs" dxfId="1740" priority="242" stopIfTrue="1" operator="lessThan">
      <formula>-0.03</formula>
    </cfRule>
  </conditionalFormatting>
  <conditionalFormatting sqref="W326:X326">
    <cfRule type="cellIs" dxfId="1739" priority="239" operator="greaterThan">
      <formula>0.03</formula>
    </cfRule>
    <cfRule type="cellIs" dxfId="1738" priority="240" stopIfTrue="1" operator="lessThan">
      <formula>-0.03</formula>
    </cfRule>
  </conditionalFormatting>
  <conditionalFormatting sqref="W330:X330">
    <cfRule type="cellIs" dxfId="1737" priority="237" operator="greaterThan">
      <formula>0.03</formula>
    </cfRule>
    <cfRule type="cellIs" dxfId="1736" priority="238" stopIfTrue="1" operator="lessThan">
      <formula>-0.03</formula>
    </cfRule>
  </conditionalFormatting>
  <conditionalFormatting sqref="W334:X334">
    <cfRule type="cellIs" dxfId="1735" priority="235" operator="greaterThan">
      <formula>0.03</formula>
    </cfRule>
    <cfRule type="cellIs" dxfId="1734" priority="236" stopIfTrue="1" operator="lessThan">
      <formula>-0.03</formula>
    </cfRule>
  </conditionalFormatting>
  <conditionalFormatting sqref="W338:X338">
    <cfRule type="cellIs" dxfId="1733" priority="233" operator="greaterThan">
      <formula>0.03</formula>
    </cfRule>
    <cfRule type="cellIs" dxfId="1732" priority="234" stopIfTrue="1" operator="lessThan">
      <formula>-0.03</formula>
    </cfRule>
  </conditionalFormatting>
  <conditionalFormatting sqref="W342:X342">
    <cfRule type="cellIs" dxfId="1731" priority="231" operator="greaterThan">
      <formula>0.03</formula>
    </cfRule>
    <cfRule type="cellIs" dxfId="1730" priority="232" stopIfTrue="1" operator="lessThan">
      <formula>-0.03</formula>
    </cfRule>
  </conditionalFormatting>
  <conditionalFormatting sqref="W346:X346">
    <cfRule type="cellIs" dxfId="1729" priority="229" operator="greaterThan">
      <formula>0.03</formula>
    </cfRule>
    <cfRule type="cellIs" dxfId="1728" priority="230" stopIfTrue="1" operator="lessThan">
      <formula>-0.03</formula>
    </cfRule>
  </conditionalFormatting>
  <conditionalFormatting sqref="W350:X350">
    <cfRule type="cellIs" dxfId="1727" priority="227" operator="greaterThan">
      <formula>0.03</formula>
    </cfRule>
    <cfRule type="cellIs" dxfId="1726" priority="228" stopIfTrue="1" operator="lessThan">
      <formula>-0.03</formula>
    </cfRule>
  </conditionalFormatting>
  <conditionalFormatting sqref="W354:X354">
    <cfRule type="cellIs" dxfId="1725" priority="225" operator="greaterThan">
      <formula>0.03</formula>
    </cfRule>
    <cfRule type="cellIs" dxfId="1724" priority="226" stopIfTrue="1" operator="lessThan">
      <formula>-0.03</formula>
    </cfRule>
  </conditionalFormatting>
  <conditionalFormatting sqref="W358:X358">
    <cfRule type="cellIs" dxfId="1723" priority="223" operator="greaterThan">
      <formula>0.03</formula>
    </cfRule>
    <cfRule type="cellIs" dxfId="1722" priority="224" stopIfTrue="1" operator="lessThan">
      <formula>-0.03</formula>
    </cfRule>
  </conditionalFormatting>
  <conditionalFormatting sqref="W362:X362">
    <cfRule type="cellIs" dxfId="1721" priority="221" operator="greaterThan">
      <formula>0.03</formula>
    </cfRule>
    <cfRule type="cellIs" dxfId="1720" priority="222" stopIfTrue="1" operator="lessThan">
      <formula>-0.03</formula>
    </cfRule>
  </conditionalFormatting>
  <conditionalFormatting sqref="W366:X366">
    <cfRule type="cellIs" dxfId="1719" priority="219" operator="greaterThan">
      <formula>0.03</formula>
    </cfRule>
    <cfRule type="cellIs" dxfId="1718" priority="220" stopIfTrue="1" operator="lessThan">
      <formula>-0.03</formula>
    </cfRule>
  </conditionalFormatting>
  <conditionalFormatting sqref="T315">
    <cfRule type="cellIs" dxfId="1717" priority="217" operator="greaterThan">
      <formula>0.03</formula>
    </cfRule>
    <cfRule type="cellIs" dxfId="1716" priority="218" stopIfTrue="1" operator="lessThan">
      <formula>-0.03</formula>
    </cfRule>
  </conditionalFormatting>
  <conditionalFormatting sqref="T368:V418 U367:V367">
    <cfRule type="cellIs" dxfId="1715" priority="215" operator="greaterThan">
      <formula>0.03</formula>
    </cfRule>
    <cfRule type="cellIs" dxfId="1714" priority="216" stopIfTrue="1" operator="lessThan">
      <formula>-0.03</formula>
    </cfRule>
  </conditionalFormatting>
  <conditionalFormatting sqref="W367">
    <cfRule type="cellIs" dxfId="1713" priority="213" operator="greaterThan">
      <formula>0.03</formula>
    </cfRule>
    <cfRule type="cellIs" dxfId="1712" priority="214" stopIfTrue="1" operator="lessThan">
      <formula>-0.03</formula>
    </cfRule>
  </conditionalFormatting>
  <conditionalFormatting sqref="X367">
    <cfRule type="cellIs" dxfId="1711" priority="211" operator="greaterThan">
      <formula>0.03</formula>
    </cfRule>
    <cfRule type="cellIs" dxfId="1710" priority="212" stopIfTrue="1" operator="lessThan">
      <formula>-0.03</formula>
    </cfRule>
  </conditionalFormatting>
  <conditionalFormatting sqref="Y367">
    <cfRule type="cellIs" dxfId="1709" priority="209" operator="greaterThan">
      <formula>0.03</formula>
    </cfRule>
    <cfRule type="cellIs" dxfId="1708" priority="210" stopIfTrue="1" operator="lessThan">
      <formula>-0.03</formula>
    </cfRule>
  </conditionalFormatting>
  <conditionalFormatting sqref="W371">
    <cfRule type="cellIs" dxfId="1707" priority="207" operator="greaterThan">
      <formula>0.03</formula>
    </cfRule>
    <cfRule type="cellIs" dxfId="1706" priority="208" stopIfTrue="1" operator="lessThan">
      <formula>-0.03</formula>
    </cfRule>
  </conditionalFormatting>
  <conditionalFormatting sqref="X371">
    <cfRule type="cellIs" dxfId="1705" priority="205" operator="greaterThan">
      <formula>0.03</formula>
    </cfRule>
    <cfRule type="cellIs" dxfId="1704" priority="206" stopIfTrue="1" operator="lessThan">
      <formula>-0.03</formula>
    </cfRule>
  </conditionalFormatting>
  <conditionalFormatting sqref="Y371">
    <cfRule type="cellIs" dxfId="1703" priority="203" operator="greaterThan">
      <formula>0.03</formula>
    </cfRule>
    <cfRule type="cellIs" dxfId="1702" priority="204" stopIfTrue="1" operator="lessThan">
      <formula>-0.03</formula>
    </cfRule>
  </conditionalFormatting>
  <conditionalFormatting sqref="W375">
    <cfRule type="cellIs" dxfId="1701" priority="201" operator="greaterThan">
      <formula>0.03</formula>
    </cfRule>
    <cfRule type="cellIs" dxfId="1700" priority="202" stopIfTrue="1" operator="lessThan">
      <formula>-0.03</formula>
    </cfRule>
  </conditionalFormatting>
  <conditionalFormatting sqref="X375">
    <cfRule type="cellIs" dxfId="1699" priority="199" operator="greaterThan">
      <formula>0.03</formula>
    </cfRule>
    <cfRule type="cellIs" dxfId="1698" priority="200" stopIfTrue="1" operator="lessThan">
      <formula>-0.03</formula>
    </cfRule>
  </conditionalFormatting>
  <conditionalFormatting sqref="Y375">
    <cfRule type="cellIs" dxfId="1697" priority="197" operator="greaterThan">
      <formula>0.03</formula>
    </cfRule>
    <cfRule type="cellIs" dxfId="1696" priority="198" stopIfTrue="1" operator="lessThan">
      <formula>-0.03</formula>
    </cfRule>
  </conditionalFormatting>
  <conditionalFormatting sqref="W379">
    <cfRule type="cellIs" dxfId="1695" priority="195" operator="greaterThan">
      <formula>0.03</formula>
    </cfRule>
    <cfRule type="cellIs" dxfId="1694" priority="196" stopIfTrue="1" operator="lessThan">
      <formula>-0.03</formula>
    </cfRule>
  </conditionalFormatting>
  <conditionalFormatting sqref="X379">
    <cfRule type="cellIs" dxfId="1693" priority="193" operator="greaterThan">
      <formula>0.03</formula>
    </cfRule>
    <cfRule type="cellIs" dxfId="1692" priority="194" stopIfTrue="1" operator="lessThan">
      <formula>-0.03</formula>
    </cfRule>
  </conditionalFormatting>
  <conditionalFormatting sqref="Y379">
    <cfRule type="cellIs" dxfId="1691" priority="191" operator="greaterThan">
      <formula>0.03</formula>
    </cfRule>
    <cfRule type="cellIs" dxfId="1690" priority="192" stopIfTrue="1" operator="lessThan">
      <formula>-0.03</formula>
    </cfRule>
  </conditionalFormatting>
  <conditionalFormatting sqref="W383">
    <cfRule type="cellIs" dxfId="1689" priority="189" operator="greaterThan">
      <formula>0.03</formula>
    </cfRule>
    <cfRule type="cellIs" dxfId="1688" priority="190" stopIfTrue="1" operator="lessThan">
      <formula>-0.03</formula>
    </cfRule>
  </conditionalFormatting>
  <conditionalFormatting sqref="X383">
    <cfRule type="cellIs" dxfId="1687" priority="187" operator="greaterThan">
      <formula>0.03</formula>
    </cfRule>
    <cfRule type="cellIs" dxfId="1686" priority="188" stopIfTrue="1" operator="lessThan">
      <formula>-0.03</formula>
    </cfRule>
  </conditionalFormatting>
  <conditionalFormatting sqref="Y383">
    <cfRule type="cellIs" dxfId="1685" priority="185" operator="greaterThan">
      <formula>0.03</formula>
    </cfRule>
    <cfRule type="cellIs" dxfId="1684" priority="186" stopIfTrue="1" operator="lessThan">
      <formula>-0.03</formula>
    </cfRule>
  </conditionalFormatting>
  <conditionalFormatting sqref="W387">
    <cfRule type="cellIs" dxfId="1683" priority="183" operator="greaterThan">
      <formula>0.03</formula>
    </cfRule>
    <cfRule type="cellIs" dxfId="1682" priority="184" stopIfTrue="1" operator="lessThan">
      <formula>-0.03</formula>
    </cfRule>
  </conditionalFormatting>
  <conditionalFormatting sqref="X387">
    <cfRule type="cellIs" dxfId="1681" priority="181" operator="greaterThan">
      <formula>0.03</formula>
    </cfRule>
    <cfRule type="cellIs" dxfId="1680" priority="182" stopIfTrue="1" operator="lessThan">
      <formula>-0.03</formula>
    </cfRule>
  </conditionalFormatting>
  <conditionalFormatting sqref="Y387">
    <cfRule type="cellIs" dxfId="1679" priority="179" operator="greaterThan">
      <formula>0.03</formula>
    </cfRule>
    <cfRule type="cellIs" dxfId="1678" priority="180" stopIfTrue="1" operator="lessThan">
      <formula>-0.03</formula>
    </cfRule>
  </conditionalFormatting>
  <conditionalFormatting sqref="W391">
    <cfRule type="cellIs" dxfId="1677" priority="177" operator="greaterThan">
      <formula>0.03</formula>
    </cfRule>
    <cfRule type="cellIs" dxfId="1676" priority="178" stopIfTrue="1" operator="lessThan">
      <formula>-0.03</formula>
    </cfRule>
  </conditionalFormatting>
  <conditionalFormatting sqref="X391">
    <cfRule type="cellIs" dxfId="1675" priority="175" operator="greaterThan">
      <formula>0.03</formula>
    </cfRule>
    <cfRule type="cellIs" dxfId="1674" priority="176" stopIfTrue="1" operator="lessThan">
      <formula>-0.03</formula>
    </cfRule>
  </conditionalFormatting>
  <conditionalFormatting sqref="Y391">
    <cfRule type="cellIs" dxfId="1673" priority="173" operator="greaterThan">
      <formula>0.03</formula>
    </cfRule>
    <cfRule type="cellIs" dxfId="1672" priority="174" stopIfTrue="1" operator="lessThan">
      <formula>-0.03</formula>
    </cfRule>
  </conditionalFormatting>
  <conditionalFormatting sqref="W395">
    <cfRule type="cellIs" dxfId="1671" priority="171" operator="greaterThan">
      <formula>0.03</formula>
    </cfRule>
    <cfRule type="cellIs" dxfId="1670" priority="172" stopIfTrue="1" operator="lessThan">
      <formula>-0.03</formula>
    </cfRule>
  </conditionalFormatting>
  <conditionalFormatting sqref="X395">
    <cfRule type="cellIs" dxfId="1669" priority="169" operator="greaterThan">
      <formula>0.03</formula>
    </cfRule>
    <cfRule type="cellIs" dxfId="1668" priority="170" stopIfTrue="1" operator="lessThan">
      <formula>-0.03</formula>
    </cfRule>
  </conditionalFormatting>
  <conditionalFormatting sqref="Y395">
    <cfRule type="cellIs" dxfId="1667" priority="167" operator="greaterThan">
      <formula>0.03</formula>
    </cfRule>
    <cfRule type="cellIs" dxfId="1666" priority="168" stopIfTrue="1" operator="lessThan">
      <formula>-0.03</formula>
    </cfRule>
  </conditionalFormatting>
  <conditionalFormatting sqref="W399">
    <cfRule type="cellIs" dxfId="1665" priority="165" operator="greaterThan">
      <formula>0.03</formula>
    </cfRule>
    <cfRule type="cellIs" dxfId="1664" priority="166" stopIfTrue="1" operator="lessThan">
      <formula>-0.03</formula>
    </cfRule>
  </conditionalFormatting>
  <conditionalFormatting sqref="X399">
    <cfRule type="cellIs" dxfId="1663" priority="163" operator="greaterThan">
      <formula>0.03</formula>
    </cfRule>
    <cfRule type="cellIs" dxfId="1662" priority="164" stopIfTrue="1" operator="lessThan">
      <formula>-0.03</formula>
    </cfRule>
  </conditionalFormatting>
  <conditionalFormatting sqref="Y399">
    <cfRule type="cellIs" dxfId="1661" priority="161" operator="greaterThan">
      <formula>0.03</formula>
    </cfRule>
    <cfRule type="cellIs" dxfId="1660" priority="162" stopIfTrue="1" operator="lessThan">
      <formula>-0.03</formula>
    </cfRule>
  </conditionalFormatting>
  <conditionalFormatting sqref="W403">
    <cfRule type="cellIs" dxfId="1659" priority="159" operator="greaterThan">
      <formula>0.03</formula>
    </cfRule>
    <cfRule type="cellIs" dxfId="1658" priority="160" stopIfTrue="1" operator="lessThan">
      <formula>-0.03</formula>
    </cfRule>
  </conditionalFormatting>
  <conditionalFormatting sqref="X403">
    <cfRule type="cellIs" dxfId="1657" priority="157" operator="greaterThan">
      <formula>0.03</formula>
    </cfRule>
    <cfRule type="cellIs" dxfId="1656" priority="158" stopIfTrue="1" operator="lessThan">
      <formula>-0.03</formula>
    </cfRule>
  </conditionalFormatting>
  <conditionalFormatting sqref="Y403">
    <cfRule type="cellIs" dxfId="1655" priority="155" operator="greaterThan">
      <formula>0.03</formula>
    </cfRule>
    <cfRule type="cellIs" dxfId="1654" priority="156" stopIfTrue="1" operator="lessThan">
      <formula>-0.03</formula>
    </cfRule>
  </conditionalFormatting>
  <conditionalFormatting sqref="W407">
    <cfRule type="cellIs" dxfId="1653" priority="153" operator="greaterThan">
      <formula>0.03</formula>
    </cfRule>
    <cfRule type="cellIs" dxfId="1652" priority="154" stopIfTrue="1" operator="lessThan">
      <formula>-0.03</formula>
    </cfRule>
  </conditionalFormatting>
  <conditionalFormatting sqref="X407">
    <cfRule type="cellIs" dxfId="1651" priority="151" operator="greaterThan">
      <formula>0.03</formula>
    </cfRule>
    <cfRule type="cellIs" dxfId="1650" priority="152" stopIfTrue="1" operator="lessThan">
      <formula>-0.03</formula>
    </cfRule>
  </conditionalFormatting>
  <conditionalFormatting sqref="Y407">
    <cfRule type="cellIs" dxfId="1649" priority="149" operator="greaterThan">
      <formula>0.03</formula>
    </cfRule>
    <cfRule type="cellIs" dxfId="1648" priority="150" stopIfTrue="1" operator="lessThan">
      <formula>-0.03</formula>
    </cfRule>
  </conditionalFormatting>
  <conditionalFormatting sqref="W411">
    <cfRule type="cellIs" dxfId="1647" priority="147" operator="greaterThan">
      <formula>0.03</formula>
    </cfRule>
    <cfRule type="cellIs" dxfId="1646" priority="148" stopIfTrue="1" operator="lessThan">
      <formula>-0.03</formula>
    </cfRule>
  </conditionalFormatting>
  <conditionalFormatting sqref="X411">
    <cfRule type="cellIs" dxfId="1645" priority="145" operator="greaterThan">
      <formula>0.03</formula>
    </cfRule>
    <cfRule type="cellIs" dxfId="1644" priority="146" stopIfTrue="1" operator="lessThan">
      <formula>-0.03</formula>
    </cfRule>
  </conditionalFormatting>
  <conditionalFormatting sqref="Y411">
    <cfRule type="cellIs" dxfId="1643" priority="143" operator="greaterThan">
      <formula>0.03</formula>
    </cfRule>
    <cfRule type="cellIs" dxfId="1642" priority="144" stopIfTrue="1" operator="lessThan">
      <formula>-0.03</formula>
    </cfRule>
  </conditionalFormatting>
  <conditionalFormatting sqref="W415">
    <cfRule type="cellIs" dxfId="1641" priority="141" operator="greaterThan">
      <formula>0.03</formula>
    </cfRule>
    <cfRule type="cellIs" dxfId="1640" priority="142" stopIfTrue="1" operator="lessThan">
      <formula>-0.03</formula>
    </cfRule>
  </conditionalFormatting>
  <conditionalFormatting sqref="X415">
    <cfRule type="cellIs" dxfId="1639" priority="139" operator="greaterThan">
      <formula>0.03</formula>
    </cfRule>
    <cfRule type="cellIs" dxfId="1638" priority="140" stopIfTrue="1" operator="lessThan">
      <formula>-0.03</formula>
    </cfRule>
  </conditionalFormatting>
  <conditionalFormatting sqref="Y415">
    <cfRule type="cellIs" dxfId="1637" priority="137" operator="greaterThan">
      <formula>0.03</formula>
    </cfRule>
    <cfRule type="cellIs" dxfId="1636" priority="138" stopIfTrue="1" operator="lessThan">
      <formula>-0.03</formula>
    </cfRule>
  </conditionalFormatting>
  <conditionalFormatting sqref="W370:X370">
    <cfRule type="cellIs" dxfId="1635" priority="135" operator="greaterThan">
      <formula>0.03</formula>
    </cfRule>
    <cfRule type="cellIs" dxfId="1634" priority="136" stopIfTrue="1" operator="lessThan">
      <formula>-0.03</formula>
    </cfRule>
  </conditionalFormatting>
  <conditionalFormatting sqref="W374:X374">
    <cfRule type="cellIs" dxfId="1633" priority="133" operator="greaterThan">
      <formula>0.03</formula>
    </cfRule>
    <cfRule type="cellIs" dxfId="1632" priority="134" stopIfTrue="1" operator="lessThan">
      <formula>-0.03</formula>
    </cfRule>
  </conditionalFormatting>
  <conditionalFormatting sqref="W378:X378">
    <cfRule type="cellIs" dxfId="1631" priority="131" operator="greaterThan">
      <formula>0.03</formula>
    </cfRule>
    <cfRule type="cellIs" dxfId="1630" priority="132" stopIfTrue="1" operator="lessThan">
      <formula>-0.03</formula>
    </cfRule>
  </conditionalFormatting>
  <conditionalFormatting sqref="W382:X382">
    <cfRule type="cellIs" dxfId="1629" priority="129" operator="greaterThan">
      <formula>0.03</formula>
    </cfRule>
    <cfRule type="cellIs" dxfId="1628" priority="130" stopIfTrue="1" operator="lessThan">
      <formula>-0.03</formula>
    </cfRule>
  </conditionalFormatting>
  <conditionalFormatting sqref="W386:X386">
    <cfRule type="cellIs" dxfId="1627" priority="127" operator="greaterThan">
      <formula>0.03</formula>
    </cfRule>
    <cfRule type="cellIs" dxfId="1626" priority="128" stopIfTrue="1" operator="lessThan">
      <formula>-0.03</formula>
    </cfRule>
  </conditionalFormatting>
  <conditionalFormatting sqref="W390:X390">
    <cfRule type="cellIs" dxfId="1625" priority="125" operator="greaterThan">
      <formula>0.03</formula>
    </cfRule>
    <cfRule type="cellIs" dxfId="1624" priority="126" stopIfTrue="1" operator="lessThan">
      <formula>-0.03</formula>
    </cfRule>
  </conditionalFormatting>
  <conditionalFormatting sqref="W394:X394">
    <cfRule type="cellIs" dxfId="1623" priority="123" operator="greaterThan">
      <formula>0.03</formula>
    </cfRule>
    <cfRule type="cellIs" dxfId="1622" priority="124" stopIfTrue="1" operator="lessThan">
      <formula>-0.03</formula>
    </cfRule>
  </conditionalFormatting>
  <conditionalFormatting sqref="W398:X398">
    <cfRule type="cellIs" dxfId="1621" priority="121" operator="greaterThan">
      <formula>0.03</formula>
    </cfRule>
    <cfRule type="cellIs" dxfId="1620" priority="122" stopIfTrue="1" operator="lessThan">
      <formula>-0.03</formula>
    </cfRule>
  </conditionalFormatting>
  <conditionalFormatting sqref="W402:X402">
    <cfRule type="cellIs" dxfId="1619" priority="119" operator="greaterThan">
      <formula>0.03</formula>
    </cfRule>
    <cfRule type="cellIs" dxfId="1618" priority="120" stopIfTrue="1" operator="lessThan">
      <formula>-0.03</formula>
    </cfRule>
  </conditionalFormatting>
  <conditionalFormatting sqref="W406:X406">
    <cfRule type="cellIs" dxfId="1617" priority="117" operator="greaterThan">
      <formula>0.03</formula>
    </cfRule>
    <cfRule type="cellIs" dxfId="1616" priority="118" stopIfTrue="1" operator="lessThan">
      <formula>-0.03</formula>
    </cfRule>
  </conditionalFormatting>
  <conditionalFormatting sqref="W410:X410">
    <cfRule type="cellIs" dxfId="1615" priority="115" operator="greaterThan">
      <formula>0.03</formula>
    </cfRule>
    <cfRule type="cellIs" dxfId="1614" priority="116" stopIfTrue="1" operator="lessThan">
      <formula>-0.03</formula>
    </cfRule>
  </conditionalFormatting>
  <conditionalFormatting sqref="W414:X414">
    <cfRule type="cellIs" dxfId="1613" priority="113" operator="greaterThan">
      <formula>0.03</formula>
    </cfRule>
    <cfRule type="cellIs" dxfId="1612" priority="114" stopIfTrue="1" operator="lessThan">
      <formula>-0.03</formula>
    </cfRule>
  </conditionalFormatting>
  <conditionalFormatting sqref="W418:X418">
    <cfRule type="cellIs" dxfId="1611" priority="111" operator="greaterThan">
      <formula>0.03</formula>
    </cfRule>
    <cfRule type="cellIs" dxfId="1610" priority="112" stopIfTrue="1" operator="lessThan">
      <formula>-0.03</formula>
    </cfRule>
  </conditionalFormatting>
  <conditionalFormatting sqref="T367">
    <cfRule type="cellIs" dxfId="1609" priority="109" operator="greaterThan">
      <formula>0.03</formula>
    </cfRule>
    <cfRule type="cellIs" dxfId="1608" priority="110" stopIfTrue="1" operator="lessThan">
      <formula>-0.03</formula>
    </cfRule>
  </conditionalFormatting>
  <conditionalFormatting sqref="T420:V470 U419:V419">
    <cfRule type="cellIs" dxfId="1607" priority="107" operator="greaterThan">
      <formula>0.03</formula>
    </cfRule>
    <cfRule type="cellIs" dxfId="1606" priority="108" stopIfTrue="1" operator="lessThan">
      <formula>-0.03</formula>
    </cfRule>
  </conditionalFormatting>
  <conditionalFormatting sqref="W419">
    <cfRule type="cellIs" dxfId="1605" priority="105" operator="greaterThan">
      <formula>0.03</formula>
    </cfRule>
    <cfRule type="cellIs" dxfId="1604" priority="106" stopIfTrue="1" operator="lessThan">
      <formula>-0.03</formula>
    </cfRule>
  </conditionalFormatting>
  <conditionalFormatting sqref="X419">
    <cfRule type="cellIs" dxfId="1603" priority="103" operator="greaterThan">
      <formula>0.03</formula>
    </cfRule>
    <cfRule type="cellIs" dxfId="1602" priority="104" stopIfTrue="1" operator="lessThan">
      <formula>-0.03</formula>
    </cfRule>
  </conditionalFormatting>
  <conditionalFormatting sqref="Y419">
    <cfRule type="cellIs" dxfId="1601" priority="101" operator="greaterThan">
      <formula>0.03</formula>
    </cfRule>
    <cfRule type="cellIs" dxfId="1600" priority="102" stopIfTrue="1" operator="lessThan">
      <formula>-0.03</formula>
    </cfRule>
  </conditionalFormatting>
  <conditionalFormatting sqref="W423">
    <cfRule type="cellIs" dxfId="1599" priority="99" operator="greaterThan">
      <formula>0.03</formula>
    </cfRule>
    <cfRule type="cellIs" dxfId="1598" priority="100" stopIfTrue="1" operator="lessThan">
      <formula>-0.03</formula>
    </cfRule>
  </conditionalFormatting>
  <conditionalFormatting sqref="X423">
    <cfRule type="cellIs" dxfId="1597" priority="97" operator="greaterThan">
      <formula>0.03</formula>
    </cfRule>
    <cfRule type="cellIs" dxfId="1596" priority="98" stopIfTrue="1" operator="lessThan">
      <formula>-0.03</formula>
    </cfRule>
  </conditionalFormatting>
  <conditionalFormatting sqref="Y423">
    <cfRule type="cellIs" dxfId="1595" priority="95" operator="greaterThan">
      <formula>0.03</formula>
    </cfRule>
    <cfRule type="cellIs" dxfId="1594" priority="96" stopIfTrue="1" operator="lessThan">
      <formula>-0.03</formula>
    </cfRule>
  </conditionalFormatting>
  <conditionalFormatting sqref="W427">
    <cfRule type="cellIs" dxfId="1593" priority="93" operator="greaterThan">
      <formula>0.03</formula>
    </cfRule>
    <cfRule type="cellIs" dxfId="1592" priority="94" stopIfTrue="1" operator="lessThan">
      <formula>-0.03</formula>
    </cfRule>
  </conditionalFormatting>
  <conditionalFormatting sqref="X427">
    <cfRule type="cellIs" dxfId="1591" priority="91" operator="greaterThan">
      <formula>0.03</formula>
    </cfRule>
    <cfRule type="cellIs" dxfId="1590" priority="92" stopIfTrue="1" operator="lessThan">
      <formula>-0.03</formula>
    </cfRule>
  </conditionalFormatting>
  <conditionalFormatting sqref="Y427">
    <cfRule type="cellIs" dxfId="1589" priority="89" operator="greaterThan">
      <formula>0.03</formula>
    </cfRule>
    <cfRule type="cellIs" dxfId="1588" priority="90" stopIfTrue="1" operator="lessThan">
      <formula>-0.03</formula>
    </cfRule>
  </conditionalFormatting>
  <conditionalFormatting sqref="W431">
    <cfRule type="cellIs" dxfId="1587" priority="87" operator="greaterThan">
      <formula>0.03</formula>
    </cfRule>
    <cfRule type="cellIs" dxfId="1586" priority="88" stopIfTrue="1" operator="lessThan">
      <formula>-0.03</formula>
    </cfRule>
  </conditionalFormatting>
  <conditionalFormatting sqref="X431">
    <cfRule type="cellIs" dxfId="1585" priority="85" operator="greaterThan">
      <formula>0.03</formula>
    </cfRule>
    <cfRule type="cellIs" dxfId="1584" priority="86" stopIfTrue="1" operator="lessThan">
      <formula>-0.03</formula>
    </cfRule>
  </conditionalFormatting>
  <conditionalFormatting sqref="Y431">
    <cfRule type="cellIs" dxfId="1583" priority="83" operator="greaterThan">
      <formula>0.03</formula>
    </cfRule>
    <cfRule type="cellIs" dxfId="1582" priority="84" stopIfTrue="1" operator="lessThan">
      <formula>-0.03</formula>
    </cfRule>
  </conditionalFormatting>
  <conditionalFormatting sqref="W435">
    <cfRule type="cellIs" dxfId="1581" priority="81" operator="greaterThan">
      <formula>0.03</formula>
    </cfRule>
    <cfRule type="cellIs" dxfId="1580" priority="82" stopIfTrue="1" operator="lessThan">
      <formula>-0.03</formula>
    </cfRule>
  </conditionalFormatting>
  <conditionalFormatting sqref="X435">
    <cfRule type="cellIs" dxfId="1579" priority="79" operator="greaterThan">
      <formula>0.03</formula>
    </cfRule>
    <cfRule type="cellIs" dxfId="1578" priority="80" stopIfTrue="1" operator="lessThan">
      <formula>-0.03</formula>
    </cfRule>
  </conditionalFormatting>
  <conditionalFormatting sqref="Y435">
    <cfRule type="cellIs" dxfId="1577" priority="77" operator="greaterThan">
      <formula>0.03</formula>
    </cfRule>
    <cfRule type="cellIs" dxfId="1576" priority="78" stopIfTrue="1" operator="lessThan">
      <formula>-0.03</formula>
    </cfRule>
  </conditionalFormatting>
  <conditionalFormatting sqref="W439">
    <cfRule type="cellIs" dxfId="1575" priority="75" operator="greaterThan">
      <formula>0.03</formula>
    </cfRule>
    <cfRule type="cellIs" dxfId="1574" priority="76" stopIfTrue="1" operator="lessThan">
      <formula>-0.03</formula>
    </cfRule>
  </conditionalFormatting>
  <conditionalFormatting sqref="X439">
    <cfRule type="cellIs" dxfId="1573" priority="73" operator="greaterThan">
      <formula>0.03</formula>
    </cfRule>
    <cfRule type="cellIs" dxfId="1572" priority="74" stopIfTrue="1" operator="lessThan">
      <formula>-0.03</formula>
    </cfRule>
  </conditionalFormatting>
  <conditionalFormatting sqref="Y439">
    <cfRule type="cellIs" dxfId="1571" priority="71" operator="greaterThan">
      <formula>0.03</formula>
    </cfRule>
    <cfRule type="cellIs" dxfId="1570" priority="72" stopIfTrue="1" operator="lessThan">
      <formula>-0.03</formula>
    </cfRule>
  </conditionalFormatting>
  <conditionalFormatting sqref="W443">
    <cfRule type="cellIs" dxfId="1569" priority="69" operator="greaterThan">
      <formula>0.03</formula>
    </cfRule>
    <cfRule type="cellIs" dxfId="1568" priority="70" stopIfTrue="1" operator="lessThan">
      <formula>-0.03</formula>
    </cfRule>
  </conditionalFormatting>
  <conditionalFormatting sqref="X443">
    <cfRule type="cellIs" dxfId="1567" priority="67" operator="greaterThan">
      <formula>0.03</formula>
    </cfRule>
    <cfRule type="cellIs" dxfId="1566" priority="68" stopIfTrue="1" operator="lessThan">
      <formula>-0.03</formula>
    </cfRule>
  </conditionalFormatting>
  <conditionalFormatting sqref="Y443">
    <cfRule type="cellIs" dxfId="1565" priority="65" operator="greaterThan">
      <formula>0.03</formula>
    </cfRule>
    <cfRule type="cellIs" dxfId="1564" priority="66" stopIfTrue="1" operator="lessThan">
      <formula>-0.03</formula>
    </cfRule>
  </conditionalFormatting>
  <conditionalFormatting sqref="W447">
    <cfRule type="cellIs" dxfId="1563" priority="63" operator="greaterThan">
      <formula>0.03</formula>
    </cfRule>
    <cfRule type="cellIs" dxfId="1562" priority="64" stopIfTrue="1" operator="lessThan">
      <formula>-0.03</formula>
    </cfRule>
  </conditionalFormatting>
  <conditionalFormatting sqref="X447">
    <cfRule type="cellIs" dxfId="1561" priority="61" operator="greaterThan">
      <formula>0.03</formula>
    </cfRule>
    <cfRule type="cellIs" dxfId="1560" priority="62" stopIfTrue="1" operator="lessThan">
      <formula>-0.03</formula>
    </cfRule>
  </conditionalFormatting>
  <conditionalFormatting sqref="Y447">
    <cfRule type="cellIs" dxfId="1559" priority="59" operator="greaterThan">
      <formula>0.03</formula>
    </cfRule>
    <cfRule type="cellIs" dxfId="1558" priority="60" stopIfTrue="1" operator="lessThan">
      <formula>-0.03</formula>
    </cfRule>
  </conditionalFormatting>
  <conditionalFormatting sqref="W451">
    <cfRule type="cellIs" dxfId="1557" priority="57" operator="greaterThan">
      <formula>0.03</formula>
    </cfRule>
    <cfRule type="cellIs" dxfId="1556" priority="58" stopIfTrue="1" operator="lessThan">
      <formula>-0.03</formula>
    </cfRule>
  </conditionalFormatting>
  <conditionalFormatting sqref="X451">
    <cfRule type="cellIs" dxfId="1555" priority="55" operator="greaterThan">
      <formula>0.03</formula>
    </cfRule>
    <cfRule type="cellIs" dxfId="1554" priority="56" stopIfTrue="1" operator="lessThan">
      <formula>-0.03</formula>
    </cfRule>
  </conditionalFormatting>
  <conditionalFormatting sqref="Y451">
    <cfRule type="cellIs" dxfId="1553" priority="53" operator="greaterThan">
      <formula>0.03</formula>
    </cfRule>
    <cfRule type="cellIs" dxfId="1552" priority="54" stopIfTrue="1" operator="lessThan">
      <formula>-0.03</formula>
    </cfRule>
  </conditionalFormatting>
  <conditionalFormatting sqref="W455">
    <cfRule type="cellIs" dxfId="1551" priority="51" operator="greaterThan">
      <formula>0.03</formula>
    </cfRule>
    <cfRule type="cellIs" dxfId="1550" priority="52" stopIfTrue="1" operator="lessThan">
      <formula>-0.03</formula>
    </cfRule>
  </conditionalFormatting>
  <conditionalFormatting sqref="X455">
    <cfRule type="cellIs" dxfId="1549" priority="49" operator="greaterThan">
      <formula>0.03</formula>
    </cfRule>
    <cfRule type="cellIs" dxfId="1548" priority="50" stopIfTrue="1" operator="lessThan">
      <formula>-0.03</formula>
    </cfRule>
  </conditionalFormatting>
  <conditionalFormatting sqref="Y455">
    <cfRule type="cellIs" dxfId="1547" priority="47" operator="greaterThan">
      <formula>0.03</formula>
    </cfRule>
    <cfRule type="cellIs" dxfId="1546" priority="48" stopIfTrue="1" operator="lessThan">
      <formula>-0.03</formula>
    </cfRule>
  </conditionalFormatting>
  <conditionalFormatting sqref="W459">
    <cfRule type="cellIs" dxfId="1545" priority="45" operator="greaterThan">
      <formula>0.03</formula>
    </cfRule>
    <cfRule type="cellIs" dxfId="1544" priority="46" stopIfTrue="1" operator="lessThan">
      <formula>-0.03</formula>
    </cfRule>
  </conditionalFormatting>
  <conditionalFormatting sqref="X459">
    <cfRule type="cellIs" dxfId="1543" priority="43" operator="greaterThan">
      <formula>0.03</formula>
    </cfRule>
    <cfRule type="cellIs" dxfId="1542" priority="44" stopIfTrue="1" operator="lessThan">
      <formula>-0.03</formula>
    </cfRule>
  </conditionalFormatting>
  <conditionalFormatting sqref="Y459">
    <cfRule type="cellIs" dxfId="1541" priority="41" operator="greaterThan">
      <formula>0.03</formula>
    </cfRule>
    <cfRule type="cellIs" dxfId="1540" priority="42" stopIfTrue="1" operator="lessThan">
      <formula>-0.03</formula>
    </cfRule>
  </conditionalFormatting>
  <conditionalFormatting sqref="W463">
    <cfRule type="cellIs" dxfId="1539" priority="39" operator="greaterThan">
      <formula>0.03</formula>
    </cfRule>
    <cfRule type="cellIs" dxfId="1538" priority="40" stopIfTrue="1" operator="lessThan">
      <formula>-0.03</formula>
    </cfRule>
  </conditionalFormatting>
  <conditionalFormatting sqref="X463">
    <cfRule type="cellIs" dxfId="1537" priority="37" operator="greaterThan">
      <formula>0.03</formula>
    </cfRule>
    <cfRule type="cellIs" dxfId="1536" priority="38" stopIfTrue="1" operator="lessThan">
      <formula>-0.03</formula>
    </cfRule>
  </conditionalFormatting>
  <conditionalFormatting sqref="Y463">
    <cfRule type="cellIs" dxfId="1535" priority="35" operator="greaterThan">
      <formula>0.03</formula>
    </cfRule>
    <cfRule type="cellIs" dxfId="1534" priority="36" stopIfTrue="1" operator="lessThan">
      <formula>-0.03</formula>
    </cfRule>
  </conditionalFormatting>
  <conditionalFormatting sqref="W467">
    <cfRule type="cellIs" dxfId="1533" priority="33" operator="greaterThan">
      <formula>0.03</formula>
    </cfRule>
    <cfRule type="cellIs" dxfId="1532" priority="34" stopIfTrue="1" operator="lessThan">
      <formula>-0.03</formula>
    </cfRule>
  </conditionalFormatting>
  <conditionalFormatting sqref="X467">
    <cfRule type="cellIs" dxfId="1531" priority="31" operator="greaterThan">
      <formula>0.03</formula>
    </cfRule>
    <cfRule type="cellIs" dxfId="1530" priority="32" stopIfTrue="1" operator="lessThan">
      <formula>-0.03</formula>
    </cfRule>
  </conditionalFormatting>
  <conditionalFormatting sqref="Y467">
    <cfRule type="cellIs" dxfId="1529" priority="29" operator="greaterThan">
      <formula>0.03</formula>
    </cfRule>
    <cfRule type="cellIs" dxfId="1528" priority="30" stopIfTrue="1" operator="lessThan">
      <formula>-0.03</formula>
    </cfRule>
  </conditionalFormatting>
  <conditionalFormatting sqref="W422:X422">
    <cfRule type="cellIs" dxfId="1527" priority="27" operator="greaterThan">
      <formula>0.03</formula>
    </cfRule>
    <cfRule type="cellIs" dxfId="1526" priority="28" stopIfTrue="1" operator="lessThan">
      <formula>-0.03</formula>
    </cfRule>
  </conditionalFormatting>
  <conditionalFormatting sqref="W426:X426">
    <cfRule type="cellIs" dxfId="1525" priority="25" operator="greaterThan">
      <formula>0.03</formula>
    </cfRule>
    <cfRule type="cellIs" dxfId="1524" priority="26" stopIfTrue="1" operator="lessThan">
      <formula>-0.03</formula>
    </cfRule>
  </conditionalFormatting>
  <conditionalFormatting sqref="W430:X430">
    <cfRule type="cellIs" dxfId="1523" priority="23" operator="greaterThan">
      <formula>0.03</formula>
    </cfRule>
    <cfRule type="cellIs" dxfId="1522" priority="24" stopIfTrue="1" operator="lessThan">
      <formula>-0.03</formula>
    </cfRule>
  </conditionalFormatting>
  <conditionalFormatting sqref="W434:X434">
    <cfRule type="cellIs" dxfId="1521" priority="21" operator="greaterThan">
      <formula>0.03</formula>
    </cfRule>
    <cfRule type="cellIs" dxfId="1520" priority="22" stopIfTrue="1" operator="lessThan">
      <formula>-0.03</formula>
    </cfRule>
  </conditionalFormatting>
  <conditionalFormatting sqref="W438:X438">
    <cfRule type="cellIs" dxfId="1519" priority="19" operator="greaterThan">
      <formula>0.03</formula>
    </cfRule>
    <cfRule type="cellIs" dxfId="1518" priority="20" stopIfTrue="1" operator="lessThan">
      <formula>-0.03</formula>
    </cfRule>
  </conditionalFormatting>
  <conditionalFormatting sqref="W442:X442">
    <cfRule type="cellIs" dxfId="1517" priority="17" operator="greaterThan">
      <formula>0.03</formula>
    </cfRule>
    <cfRule type="cellIs" dxfId="1516" priority="18" stopIfTrue="1" operator="lessThan">
      <formula>-0.03</formula>
    </cfRule>
  </conditionalFormatting>
  <conditionalFormatting sqref="W446:X446">
    <cfRule type="cellIs" dxfId="1515" priority="15" operator="greaterThan">
      <formula>0.03</formula>
    </cfRule>
    <cfRule type="cellIs" dxfId="1514" priority="16" stopIfTrue="1" operator="lessThan">
      <formula>-0.03</formula>
    </cfRule>
  </conditionalFormatting>
  <conditionalFormatting sqref="W450:X450">
    <cfRule type="cellIs" dxfId="1513" priority="13" operator="greaterThan">
      <formula>0.03</formula>
    </cfRule>
    <cfRule type="cellIs" dxfId="1512" priority="14" stopIfTrue="1" operator="lessThan">
      <formula>-0.03</formula>
    </cfRule>
  </conditionalFormatting>
  <conditionalFormatting sqref="W454:X454">
    <cfRule type="cellIs" dxfId="1511" priority="11" operator="greaterThan">
      <formula>0.03</formula>
    </cfRule>
    <cfRule type="cellIs" dxfId="1510" priority="12" stopIfTrue="1" operator="lessThan">
      <formula>-0.03</formula>
    </cfRule>
  </conditionalFormatting>
  <conditionalFormatting sqref="W458:X458">
    <cfRule type="cellIs" dxfId="1509" priority="9" operator="greaterThan">
      <formula>0.03</formula>
    </cfRule>
    <cfRule type="cellIs" dxfId="1508" priority="10" stopIfTrue="1" operator="lessThan">
      <formula>-0.03</formula>
    </cfRule>
  </conditionalFormatting>
  <conditionalFormatting sqref="W462:X462">
    <cfRule type="cellIs" dxfId="1507" priority="7" operator="greaterThan">
      <formula>0.03</formula>
    </cfRule>
    <cfRule type="cellIs" dxfId="1506" priority="8" stopIfTrue="1" operator="lessThan">
      <formula>-0.03</formula>
    </cfRule>
  </conditionalFormatting>
  <conditionalFormatting sqref="W466:X466">
    <cfRule type="cellIs" dxfId="1505" priority="5" operator="greaterThan">
      <formula>0.03</formula>
    </cfRule>
    <cfRule type="cellIs" dxfId="1504" priority="6" stopIfTrue="1" operator="lessThan">
      <formula>-0.03</formula>
    </cfRule>
  </conditionalFormatting>
  <conditionalFormatting sqref="W470:X470">
    <cfRule type="cellIs" dxfId="1503" priority="3" operator="greaterThan">
      <formula>0.03</formula>
    </cfRule>
    <cfRule type="cellIs" dxfId="1502" priority="4" stopIfTrue="1" operator="lessThan">
      <formula>-0.03</formula>
    </cfRule>
  </conditionalFormatting>
  <conditionalFormatting sqref="T419">
    <cfRule type="cellIs" dxfId="1501" priority="1" operator="greaterThan">
      <formula>0.03</formula>
    </cfRule>
    <cfRule type="cellIs" dxfId="1500" priority="2" stopIfTrue="1" operator="lessThan">
      <formula>-0.03</formula>
    </cfRule>
  </conditionalFormatting>
  <pageMargins left="0.75" right="0.75" top="1" bottom="1" header="0.5" footer="0.5"/>
  <pageSetup paperSize="9" orientation="portrait" horizontalDpi="4294967292" verticalDpi="4294967292"/>
  <headerFooter alignWithMargins="0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C114"/>
  <sheetViews>
    <sheetView topLeftCell="G1" zoomScale="70" zoomScaleNormal="70" workbookViewId="0">
      <selection activeCell="P68" sqref="P68"/>
    </sheetView>
  </sheetViews>
  <sheetFormatPr defaultColWidth="10.77734375" defaultRowHeight="12" x14ac:dyDescent="0.2"/>
  <cols>
    <col min="1" max="1" width="8.33203125" style="1" customWidth="1"/>
    <col min="2" max="2" width="14.77734375" style="1" customWidth="1"/>
    <col min="3" max="3" width="7.77734375" style="1" customWidth="1"/>
    <col min="4" max="4" width="9.77734375" style="1" customWidth="1"/>
    <col min="5" max="7" width="6.77734375" style="1" customWidth="1"/>
    <col min="8" max="10" width="8.77734375" style="1" customWidth="1"/>
    <col min="11" max="11" width="2.77734375" style="1" customWidth="1"/>
    <col min="12" max="12" width="9.77734375" style="1" customWidth="1"/>
    <col min="13" max="15" width="6.77734375" style="1" customWidth="1"/>
    <col min="16" max="18" width="8.77734375" style="1" customWidth="1"/>
    <col min="19" max="19" width="2.77734375" style="1" customWidth="1"/>
    <col min="20" max="25" width="8.77734375" style="1" customWidth="1"/>
    <col min="26" max="27" width="10.77734375" style="1"/>
    <col min="28" max="28" width="11.5546875" style="1" bestFit="1" customWidth="1"/>
    <col min="29" max="16384" width="10.77734375" style="1"/>
  </cols>
  <sheetData>
    <row r="1" spans="1:28" ht="12.75" thickBot="1" x14ac:dyDescent="0.25">
      <c r="D1" s="162" t="s">
        <v>32</v>
      </c>
      <c r="E1" s="163"/>
      <c r="F1" s="163"/>
      <c r="G1" s="163"/>
      <c r="H1" s="163"/>
      <c r="I1" s="163"/>
      <c r="J1" s="164"/>
      <c r="L1" s="162" t="s">
        <v>33</v>
      </c>
      <c r="M1" s="163"/>
      <c r="N1" s="163"/>
      <c r="O1" s="163"/>
      <c r="P1" s="163"/>
      <c r="Q1" s="163"/>
      <c r="R1" s="164"/>
      <c r="S1" s="2"/>
      <c r="T1" s="162" t="s">
        <v>47</v>
      </c>
      <c r="U1" s="163"/>
      <c r="V1" s="164"/>
      <c r="W1" s="162" t="s">
        <v>48</v>
      </c>
      <c r="X1" s="163"/>
      <c r="Y1" s="164"/>
    </row>
    <row r="2" spans="1:28" ht="12.75" thickBot="1" x14ac:dyDescent="0.25">
      <c r="A2" s="3"/>
      <c r="B2" s="4"/>
      <c r="C2" s="5" t="s">
        <v>1</v>
      </c>
      <c r="D2" s="6" t="s">
        <v>34</v>
      </c>
      <c r="E2" s="7" t="s">
        <v>35</v>
      </c>
      <c r="F2" s="7" t="s">
        <v>36</v>
      </c>
      <c r="G2" s="7" t="s">
        <v>37</v>
      </c>
      <c r="H2" s="7" t="s">
        <v>38</v>
      </c>
      <c r="I2" s="7" t="s">
        <v>39</v>
      </c>
      <c r="J2" s="8" t="s">
        <v>40</v>
      </c>
      <c r="K2" s="2"/>
      <c r="L2" s="6" t="s">
        <v>34</v>
      </c>
      <c r="M2" s="7" t="s">
        <v>35</v>
      </c>
      <c r="N2" s="7" t="s">
        <v>36</v>
      </c>
      <c r="O2" s="7" t="s">
        <v>37</v>
      </c>
      <c r="P2" s="7" t="s">
        <v>38</v>
      </c>
      <c r="Q2" s="7" t="s">
        <v>39</v>
      </c>
      <c r="R2" s="8" t="s">
        <v>40</v>
      </c>
      <c r="S2" s="9"/>
      <c r="T2" s="6" t="s">
        <v>41</v>
      </c>
      <c r="U2" s="7" t="s">
        <v>42</v>
      </c>
      <c r="V2" s="8" t="s">
        <v>43</v>
      </c>
      <c r="W2" s="10" t="s">
        <v>41</v>
      </c>
      <c r="X2" s="11" t="s">
        <v>42</v>
      </c>
      <c r="Y2" s="12" t="s">
        <v>43</v>
      </c>
      <c r="Z2" s="41"/>
      <c r="AA2" s="42"/>
    </row>
    <row r="3" spans="1:28" x14ac:dyDescent="0.2">
      <c r="A3" s="13" t="s">
        <v>102</v>
      </c>
      <c r="B3" s="13" t="s">
        <v>104</v>
      </c>
      <c r="C3" s="13">
        <v>22</v>
      </c>
      <c r="D3" s="17">
        <v>3623.6352000000002</v>
      </c>
      <c r="E3" s="18">
        <v>43.885019999999997</v>
      </c>
      <c r="F3" s="18">
        <v>44.572904000000001</v>
      </c>
      <c r="G3" s="18">
        <v>44.104236999999998</v>
      </c>
      <c r="H3" s="18">
        <v>5149.6779999999999</v>
      </c>
      <c r="I3" s="18"/>
      <c r="J3" s="16">
        <f>H3/3600</f>
        <v>1.430466111111111</v>
      </c>
      <c r="L3" s="17">
        <v>3623.6352000000002</v>
      </c>
      <c r="M3" s="18">
        <v>43.885019999999997</v>
      </c>
      <c r="N3" s="18">
        <v>44.572904000000001</v>
      </c>
      <c r="O3" s="18">
        <v>44.104236999999998</v>
      </c>
      <c r="P3" s="18">
        <v>5230.2520000000004</v>
      </c>
      <c r="Q3" s="18"/>
      <c r="R3" s="19">
        <f>P3/3600</f>
        <v>1.452847777777778</v>
      </c>
      <c r="S3" s="20"/>
      <c r="T3" s="21">
        <f>bdrate($D3:$D6,E3:E6,$L3:$L6,M3:M6)</f>
        <v>0</v>
      </c>
      <c r="U3" s="22">
        <f>bdrate($D3:$D6,F3:F6,$L3:$L6,N3:N6)</f>
        <v>0</v>
      </c>
      <c r="V3" s="23">
        <f>bdrate($D3:$D6,G3:G6,$L3:$L6,O3:O6)</f>
        <v>0</v>
      </c>
      <c r="W3" s="21">
        <f>bdrateOld($D3:$D6,E3:E6,$L3:$L6,M3:M6)</f>
        <v>0</v>
      </c>
      <c r="X3" s="22">
        <f>bdrateOld($D3:$D6,F3:F6,$L3:$L6,N3:N6)</f>
        <v>0</v>
      </c>
      <c r="Y3" s="23">
        <f>bdrateOld($D3:$D6,G3:G6,$L3:$L6,O3:O6)</f>
        <v>0</v>
      </c>
      <c r="Z3" s="122">
        <f t="shared" ref="Z3:Z10" si="0">(H3-P3)/H3</f>
        <v>-1.5646415173919716E-2</v>
      </c>
      <c r="AA3" s="140">
        <f>AVERAGE(Z3:Z6)</f>
        <v>-1.4475656580958181E-2</v>
      </c>
      <c r="AB3" s="144" t="e">
        <f ca="1">[1]!BJM(D3:E6,L3:M6,0)</f>
        <v>#NAME?</v>
      </c>
    </row>
    <row r="4" spans="1:28" x14ac:dyDescent="0.2">
      <c r="A4" s="24" t="s">
        <v>101</v>
      </c>
      <c r="B4" s="24"/>
      <c r="C4" s="24">
        <v>27</v>
      </c>
      <c r="D4" s="28">
        <v>1435.6056000000001</v>
      </c>
      <c r="E4" s="29">
        <v>41.079810999999999</v>
      </c>
      <c r="F4" s="29">
        <v>42.407150000000001</v>
      </c>
      <c r="G4" s="29">
        <v>41.883803999999998</v>
      </c>
      <c r="H4" s="29">
        <v>4200.5410000000002</v>
      </c>
      <c r="I4" s="29"/>
      <c r="J4" s="27">
        <f t="shared" ref="J4:J67" si="1">H4/3600</f>
        <v>1.1668169444444445</v>
      </c>
      <c r="L4" s="28">
        <v>1435.6056000000001</v>
      </c>
      <c r="M4" s="29">
        <v>41.079810999999999</v>
      </c>
      <c r="N4" s="29">
        <v>42.407150000000001</v>
      </c>
      <c r="O4" s="29">
        <v>41.883803999999998</v>
      </c>
      <c r="P4" s="29">
        <v>4256.67</v>
      </c>
      <c r="Q4" s="29"/>
      <c r="R4" s="30">
        <f t="shared" ref="R4:R67" si="2">P4/3600</f>
        <v>1.1824083333333333</v>
      </c>
      <c r="S4" s="20"/>
      <c r="T4" s="31"/>
      <c r="U4" s="32"/>
      <c r="V4" s="33"/>
      <c r="W4" s="31"/>
      <c r="X4" s="32"/>
      <c r="Y4" s="33"/>
      <c r="Z4" s="122">
        <f t="shared" si="0"/>
        <v>-1.3362326424143915E-2</v>
      </c>
      <c r="AA4" s="127"/>
      <c r="AB4" s="144"/>
    </row>
    <row r="5" spans="1:28" x14ac:dyDescent="0.2">
      <c r="A5" s="24"/>
      <c r="B5" s="24"/>
      <c r="C5" s="24">
        <v>32</v>
      </c>
      <c r="D5" s="28">
        <v>651.46320000000003</v>
      </c>
      <c r="E5" s="29">
        <v>38.411698000000001</v>
      </c>
      <c r="F5" s="29">
        <v>40.657561000000001</v>
      </c>
      <c r="G5" s="29">
        <v>40.155127</v>
      </c>
      <c r="H5" s="29">
        <v>3604.027</v>
      </c>
      <c r="I5" s="29"/>
      <c r="J5" s="27">
        <f t="shared" si="1"/>
        <v>1.0011186111111112</v>
      </c>
      <c r="L5" s="28">
        <v>651.46320000000003</v>
      </c>
      <c r="M5" s="29">
        <v>38.411698000000001</v>
      </c>
      <c r="N5" s="29">
        <v>40.657561000000001</v>
      </c>
      <c r="O5" s="29">
        <v>40.155127</v>
      </c>
      <c r="P5" s="29">
        <v>3651.857</v>
      </c>
      <c r="Q5" s="29"/>
      <c r="R5" s="30">
        <f t="shared" si="2"/>
        <v>1.0144047222222221</v>
      </c>
      <c r="S5" s="20"/>
      <c r="T5" s="31"/>
      <c r="U5" s="32"/>
      <c r="V5" s="33"/>
      <c r="W5" s="31"/>
      <c r="X5" s="32"/>
      <c r="Y5" s="33"/>
      <c r="Z5" s="122">
        <f t="shared" si="0"/>
        <v>-1.3271265725811689E-2</v>
      </c>
      <c r="AA5" s="127"/>
      <c r="AB5" s="144"/>
    </row>
    <row r="6" spans="1:28" ht="12.75" thickBot="1" x14ac:dyDescent="0.25">
      <c r="A6" s="24"/>
      <c r="B6" s="34"/>
      <c r="C6" s="34">
        <v>37</v>
      </c>
      <c r="D6" s="28">
        <v>328.44959999999998</v>
      </c>
      <c r="E6" s="29">
        <v>35.796441999999999</v>
      </c>
      <c r="F6" s="29">
        <v>39.477668999999999</v>
      </c>
      <c r="G6" s="29">
        <v>38.924812000000003</v>
      </c>
      <c r="H6" s="29">
        <v>3222.123</v>
      </c>
      <c r="I6" s="39"/>
      <c r="J6" s="37">
        <f t="shared" si="1"/>
        <v>0.89503416666666669</v>
      </c>
      <c r="L6" s="28">
        <v>328.44959999999998</v>
      </c>
      <c r="M6" s="29">
        <v>35.796441999999999</v>
      </c>
      <c r="N6" s="29">
        <v>39.477668999999999</v>
      </c>
      <c r="O6" s="29">
        <v>38.924812000000003</v>
      </c>
      <c r="P6" s="29">
        <v>3272.4609999999998</v>
      </c>
      <c r="Q6" s="39"/>
      <c r="R6" s="40">
        <f t="shared" si="2"/>
        <v>0.90901694444444436</v>
      </c>
      <c r="S6" s="20"/>
      <c r="T6" s="41"/>
      <c r="U6" s="42"/>
      <c r="V6" s="43"/>
      <c r="W6" s="41"/>
      <c r="X6" s="42"/>
      <c r="Y6" s="43"/>
      <c r="Z6" s="123">
        <f t="shared" si="0"/>
        <v>-1.5622618999957399E-2</v>
      </c>
      <c r="AA6" s="128"/>
      <c r="AB6" s="144"/>
    </row>
    <row r="7" spans="1:28" x14ac:dyDescent="0.2">
      <c r="A7" s="24"/>
      <c r="B7" s="13" t="s">
        <v>105</v>
      </c>
      <c r="C7" s="13">
        <v>22</v>
      </c>
      <c r="D7" s="17">
        <v>3623.6352000000002</v>
      </c>
      <c r="E7" s="18">
        <v>43.885019999999997</v>
      </c>
      <c r="F7" s="18">
        <v>44.572904000000001</v>
      </c>
      <c r="G7" s="18">
        <v>44.104236999999998</v>
      </c>
      <c r="H7" s="18">
        <v>5149.6779999999999</v>
      </c>
      <c r="I7" s="18"/>
      <c r="J7" s="16">
        <f t="shared" si="1"/>
        <v>1.430466111111111</v>
      </c>
      <c r="L7" s="17">
        <v>3631.9416000000001</v>
      </c>
      <c r="M7" s="18">
        <v>43.852496000000002</v>
      </c>
      <c r="N7" s="18">
        <v>44.566341000000001</v>
      </c>
      <c r="O7" s="18">
        <v>44.093665000000001</v>
      </c>
      <c r="P7" s="18">
        <v>4678.5259999999998</v>
      </c>
      <c r="Q7" s="18"/>
      <c r="R7" s="19">
        <f t="shared" si="2"/>
        <v>1.2995905555555556</v>
      </c>
      <c r="S7" s="20"/>
      <c r="T7" s="21">
        <f>bdrate($D7:$D10,E7:E10,$L7:$L10,M7:M10)</f>
        <v>6.9356030437943694E-3</v>
      </c>
      <c r="U7" s="22">
        <f>bdrate($D7:$D10,F7:F10,$L7:$L10,N7:N10)</f>
        <v>3.3597523020394426E-3</v>
      </c>
      <c r="V7" s="22">
        <f>bdrate($D7:$D10,G7:G10,$L7:$L10,O7:O10)</f>
        <v>6.6870683697957123E-3</v>
      </c>
      <c r="W7" s="44">
        <f>bdrateOld($D7:$D10,E7:E10,$L7:$L10,M7:M10)</f>
        <v>6.9487650033766002E-3</v>
      </c>
      <c r="X7" s="45">
        <f>bdrateOld($D7:$D10,F7:F10,$L7:$L10,N7:N10)</f>
        <v>3.8701040247295371E-3</v>
      </c>
      <c r="Y7" s="46">
        <f>bdrateOld($D7:$D10,G7:G10,$L7:$L10,O7:O10)</f>
        <v>7.7688758351042164E-3</v>
      </c>
      <c r="Z7" s="122">
        <f t="shared" si="0"/>
        <v>9.1491545684992348E-2</v>
      </c>
      <c r="AA7" s="140">
        <f>AVERAGE(Z7:Z10)</f>
        <v>0.10297002393391766</v>
      </c>
      <c r="AB7" s="144" t="e">
        <f ca="1">[1]!BJM(D7:E10,L7:M10,0)</f>
        <v>#NAME?</v>
      </c>
    </row>
    <row r="8" spans="1:28" x14ac:dyDescent="0.2">
      <c r="A8" s="24"/>
      <c r="B8" s="24"/>
      <c r="C8" s="24">
        <v>27</v>
      </c>
      <c r="D8" s="28">
        <v>1435.6056000000001</v>
      </c>
      <c r="E8" s="29">
        <v>41.079810999999999</v>
      </c>
      <c r="F8" s="29">
        <v>42.407150000000001</v>
      </c>
      <c r="G8" s="29">
        <v>41.883803999999998</v>
      </c>
      <c r="H8" s="29">
        <v>4200.5410000000002</v>
      </c>
      <c r="I8" s="29"/>
      <c r="J8" s="27">
        <f t="shared" si="1"/>
        <v>1.1668169444444445</v>
      </c>
      <c r="L8" s="28">
        <v>1438.1063999999999</v>
      </c>
      <c r="M8" s="29">
        <v>41.061258000000002</v>
      </c>
      <c r="N8" s="29">
        <v>42.404598999999997</v>
      </c>
      <c r="O8" s="29">
        <v>41.867559999999997</v>
      </c>
      <c r="P8" s="29">
        <v>3785.393</v>
      </c>
      <c r="Q8" s="29"/>
      <c r="R8" s="30">
        <f t="shared" si="2"/>
        <v>1.0514980555555555</v>
      </c>
      <c r="S8" s="20"/>
      <c r="T8" s="31"/>
      <c r="U8" s="32"/>
      <c r="V8" s="32"/>
      <c r="W8" s="31"/>
      <c r="X8" s="32"/>
      <c r="Y8" s="33"/>
      <c r="Z8" s="122">
        <f t="shared" si="0"/>
        <v>9.8832031397860454E-2</v>
      </c>
      <c r="AA8" s="33"/>
      <c r="AB8" s="144"/>
    </row>
    <row r="9" spans="1:28" x14ac:dyDescent="0.2">
      <c r="A9" s="24"/>
      <c r="B9" s="24"/>
      <c r="C9" s="24">
        <v>32</v>
      </c>
      <c r="D9" s="28">
        <v>651.46320000000003</v>
      </c>
      <c r="E9" s="29">
        <v>38.411698000000001</v>
      </c>
      <c r="F9" s="29">
        <v>40.657561000000001</v>
      </c>
      <c r="G9" s="29">
        <v>40.155127</v>
      </c>
      <c r="H9" s="29">
        <v>3604.027</v>
      </c>
      <c r="I9" s="29"/>
      <c r="J9" s="27">
        <f t="shared" si="1"/>
        <v>1.0011186111111112</v>
      </c>
      <c r="L9" s="28">
        <v>650.88720000000001</v>
      </c>
      <c r="M9" s="29">
        <v>38.394492999999997</v>
      </c>
      <c r="N9" s="29">
        <v>40.654097</v>
      </c>
      <c r="O9" s="29">
        <v>40.152602000000002</v>
      </c>
      <c r="P9" s="29">
        <v>3211.64</v>
      </c>
      <c r="Q9" s="29"/>
      <c r="R9" s="30">
        <f t="shared" si="2"/>
        <v>0.89212222222222215</v>
      </c>
      <c r="S9" s="20"/>
      <c r="T9" s="31"/>
      <c r="U9" s="47"/>
      <c r="V9" s="32"/>
      <c r="W9" s="31"/>
      <c r="X9" s="32"/>
      <c r="Y9" s="33"/>
      <c r="Z9" s="122">
        <f t="shared" si="0"/>
        <v>0.10887460055099481</v>
      </c>
      <c r="AA9" s="33"/>
      <c r="AB9" s="144"/>
    </row>
    <row r="10" spans="1:28" ht="12.75" thickBot="1" x14ac:dyDescent="0.25">
      <c r="A10" s="24"/>
      <c r="B10" s="34"/>
      <c r="C10" s="34">
        <v>37</v>
      </c>
      <c r="D10" s="28">
        <v>328.44959999999998</v>
      </c>
      <c r="E10" s="29">
        <v>35.796441999999999</v>
      </c>
      <c r="F10" s="29">
        <v>39.477668999999999</v>
      </c>
      <c r="G10" s="29">
        <v>38.924812000000003</v>
      </c>
      <c r="H10" s="29">
        <v>3222.123</v>
      </c>
      <c r="I10" s="39"/>
      <c r="J10" s="37">
        <f t="shared" si="1"/>
        <v>0.89503416666666669</v>
      </c>
      <c r="L10" s="38">
        <v>329.80560000000003</v>
      </c>
      <c r="M10" s="39">
        <v>35.785823999999998</v>
      </c>
      <c r="N10" s="39">
        <v>39.465311999999997</v>
      </c>
      <c r="O10" s="39">
        <v>38.903677999999999</v>
      </c>
      <c r="P10" s="39">
        <v>2859.0479999999998</v>
      </c>
      <c r="Q10" s="39"/>
      <c r="R10" s="40">
        <f t="shared" si="2"/>
        <v>0.79417999999999989</v>
      </c>
      <c r="S10" s="20"/>
      <c r="T10" s="41"/>
      <c r="U10" s="42"/>
      <c r="V10" s="42"/>
      <c r="W10" s="41"/>
      <c r="X10" s="42"/>
      <c r="Y10" s="43"/>
      <c r="Z10" s="123">
        <f t="shared" si="0"/>
        <v>0.11268191810182301</v>
      </c>
      <c r="AA10" s="43"/>
      <c r="AB10" s="144"/>
    </row>
    <row r="11" spans="1:28" x14ac:dyDescent="0.2">
      <c r="A11" s="118"/>
      <c r="B11" s="13" t="s">
        <v>106</v>
      </c>
      <c r="C11" s="117">
        <v>22</v>
      </c>
      <c r="D11" s="17">
        <v>3623.6352000000002</v>
      </c>
      <c r="E11" s="18">
        <v>43.885019999999997</v>
      </c>
      <c r="F11" s="18">
        <v>44.572904000000001</v>
      </c>
      <c r="G11" s="18">
        <v>44.104236999999998</v>
      </c>
      <c r="H11" s="18">
        <v>5149.6779999999999</v>
      </c>
      <c r="I11" s="18"/>
      <c r="J11" s="16">
        <f t="shared" si="1"/>
        <v>1.430466111111111</v>
      </c>
      <c r="L11" s="17">
        <v>3807.7031999999999</v>
      </c>
      <c r="M11" s="18">
        <v>43.747928999999999</v>
      </c>
      <c r="N11" s="18">
        <v>44.495123999999997</v>
      </c>
      <c r="O11" s="18">
        <v>44.002105999999998</v>
      </c>
      <c r="P11" s="18">
        <v>4380.3940000000002</v>
      </c>
      <c r="Q11" s="18"/>
      <c r="R11" s="19">
        <f t="shared" si="2"/>
        <v>1.2167761111111113</v>
      </c>
      <c r="S11" s="20"/>
      <c r="T11" s="21">
        <f>bdrate($D11:$D14,E11:E14,$L11:$L14,M11:M14)</f>
        <v>7.0395354110417196E-2</v>
      </c>
      <c r="U11" s="22">
        <f>bdrate($D11:$D14,F11:F14,$L11:$L14,N11:N14)</f>
        <v>4.8065860115977577E-2</v>
      </c>
      <c r="V11" s="22">
        <f>bdrate($D11:$D14,G11:G14,$L11:$L14,O11:O14)</f>
        <v>5.7662219972417272E-2</v>
      </c>
      <c r="W11" s="44">
        <f>bdrateOld($D11:$D14,E11:E14,$L11:$L14,M11:M14)</f>
        <v>7.0344770635439646E-2</v>
      </c>
      <c r="X11" s="45">
        <f>bdrateOld($D11:$D14,F11:F14,$L11:$L14,N11:N14)</f>
        <v>4.8592474833634602E-2</v>
      </c>
      <c r="Y11" s="46">
        <f>bdrateOld($D11:$D14,G11:G14,$L11:$L14,O11:O14)</f>
        <v>5.7505711103332802E-2</v>
      </c>
      <c r="Z11" s="122">
        <f t="shared" ref="Z11:Z18" si="3">(H11-P11)/H11</f>
        <v>0.149384874161064</v>
      </c>
      <c r="AA11" s="140">
        <f>AVERAGE(Z11:Z14)</f>
        <v>0.17795130374973722</v>
      </c>
      <c r="AB11" s="144" t="e">
        <f ca="1">[1]!BJM(D11:E14,L11:M14,0)</f>
        <v>#NAME?</v>
      </c>
    </row>
    <row r="12" spans="1:28" x14ac:dyDescent="0.2">
      <c r="A12" s="118"/>
      <c r="B12" s="118"/>
      <c r="C12" s="118">
        <v>27</v>
      </c>
      <c r="D12" s="28">
        <v>1435.6056000000001</v>
      </c>
      <c r="E12" s="29">
        <v>41.079810999999999</v>
      </c>
      <c r="F12" s="29">
        <v>42.407150000000001</v>
      </c>
      <c r="G12" s="29">
        <v>41.883803999999998</v>
      </c>
      <c r="H12" s="29">
        <v>4200.5410000000002</v>
      </c>
      <c r="I12" s="29"/>
      <c r="J12" s="27">
        <f t="shared" si="1"/>
        <v>1.1668169444444445</v>
      </c>
      <c r="L12" s="28">
        <v>1478.6112000000001</v>
      </c>
      <c r="M12" s="29">
        <v>40.925694</v>
      </c>
      <c r="N12" s="29">
        <v>42.363152999999997</v>
      </c>
      <c r="O12" s="29">
        <v>41.822096999999999</v>
      </c>
      <c r="P12" s="29">
        <v>3463.143</v>
      </c>
      <c r="Q12" s="29"/>
      <c r="R12" s="30">
        <f t="shared" si="2"/>
        <v>0.96198416666666664</v>
      </c>
      <c r="S12" s="20"/>
      <c r="T12" s="31"/>
      <c r="U12" s="32"/>
      <c r="V12" s="32"/>
      <c r="W12" s="31"/>
      <c r="X12" s="32"/>
      <c r="Y12" s="33"/>
      <c r="Z12" s="122">
        <f t="shared" si="3"/>
        <v>0.17554834008286077</v>
      </c>
      <c r="AA12" s="33"/>
      <c r="AB12" s="144"/>
    </row>
    <row r="13" spans="1:28" x14ac:dyDescent="0.2">
      <c r="A13" s="118"/>
      <c r="B13" s="118"/>
      <c r="C13" s="118">
        <v>32</v>
      </c>
      <c r="D13" s="28">
        <v>651.46320000000003</v>
      </c>
      <c r="E13" s="29">
        <v>38.411698000000001</v>
      </c>
      <c r="F13" s="29">
        <v>40.657561000000001</v>
      </c>
      <c r="G13" s="29">
        <v>40.155127</v>
      </c>
      <c r="H13" s="29">
        <v>3604.027</v>
      </c>
      <c r="I13" s="29"/>
      <c r="J13" s="27">
        <f t="shared" si="1"/>
        <v>1.0011186111111112</v>
      </c>
      <c r="L13" s="28">
        <v>663.46079999999995</v>
      </c>
      <c r="M13" s="29">
        <v>38.266008999999997</v>
      </c>
      <c r="N13" s="29">
        <v>40.636197000000003</v>
      </c>
      <c r="O13" s="29">
        <v>40.108117</v>
      </c>
      <c r="P13" s="29">
        <v>2941.0889999999999</v>
      </c>
      <c r="Q13" s="29"/>
      <c r="R13" s="30">
        <f t="shared" si="2"/>
        <v>0.81696916666666664</v>
      </c>
      <c r="S13" s="20"/>
      <c r="T13" s="31"/>
      <c r="U13" s="32"/>
      <c r="V13" s="32"/>
      <c r="W13" s="31"/>
      <c r="X13" s="32"/>
      <c r="Y13" s="33"/>
      <c r="Z13" s="122">
        <f t="shared" si="3"/>
        <v>0.18394368299682551</v>
      </c>
      <c r="AA13" s="33"/>
      <c r="AB13" s="144"/>
    </row>
    <row r="14" spans="1:28" ht="12.75" thickBot="1" x14ac:dyDescent="0.25">
      <c r="A14" s="118"/>
      <c r="B14" s="119"/>
      <c r="C14" s="119">
        <v>37</v>
      </c>
      <c r="D14" s="28">
        <v>328.44959999999998</v>
      </c>
      <c r="E14" s="29">
        <v>35.796441999999999</v>
      </c>
      <c r="F14" s="29">
        <v>39.477668999999999</v>
      </c>
      <c r="G14" s="29">
        <v>38.924812000000003</v>
      </c>
      <c r="H14" s="29">
        <v>3222.123</v>
      </c>
      <c r="I14" s="39"/>
      <c r="J14" s="37">
        <f t="shared" si="1"/>
        <v>0.89503416666666669</v>
      </c>
      <c r="L14" s="38">
        <v>331.01280000000003</v>
      </c>
      <c r="M14" s="39">
        <v>35.711056999999997</v>
      </c>
      <c r="N14" s="39">
        <v>39.444651</v>
      </c>
      <c r="O14" s="39">
        <v>38.884304</v>
      </c>
      <c r="P14" s="39">
        <v>2568.2629999999999</v>
      </c>
      <c r="Q14" s="39"/>
      <c r="R14" s="40">
        <f t="shared" si="2"/>
        <v>0.71340638888888885</v>
      </c>
      <c r="S14" s="20"/>
      <c r="T14" s="41"/>
      <c r="U14" s="42"/>
      <c r="V14" s="42"/>
      <c r="W14" s="41"/>
      <c r="X14" s="42"/>
      <c r="Y14" s="43"/>
      <c r="Z14" s="123">
        <f t="shared" si="3"/>
        <v>0.20292831775819858</v>
      </c>
      <c r="AA14" s="43"/>
      <c r="AB14" s="144"/>
    </row>
    <row r="15" spans="1:28" x14ac:dyDescent="0.2">
      <c r="A15" s="118"/>
      <c r="B15" s="13"/>
      <c r="C15" s="117">
        <v>22</v>
      </c>
      <c r="D15" s="17"/>
      <c r="E15" s="18"/>
      <c r="F15" s="18"/>
      <c r="G15" s="18"/>
      <c r="H15" s="18"/>
      <c r="I15" s="18"/>
      <c r="J15" s="16">
        <f t="shared" si="1"/>
        <v>0</v>
      </c>
      <c r="L15" s="17"/>
      <c r="M15" s="18"/>
      <c r="N15" s="18"/>
      <c r="O15" s="18"/>
      <c r="P15" s="18"/>
      <c r="Q15" s="18"/>
      <c r="R15" s="19">
        <f t="shared" si="2"/>
        <v>0</v>
      </c>
      <c r="S15" s="20"/>
      <c r="T15" s="21" t="e">
        <f>bdrate($D15:$D18,E15:E18,$L15:$L18,M15:M18)</f>
        <v>#VALUE!</v>
      </c>
      <c r="U15" s="22" t="e">
        <f>bdrate($D15:$D18,F15:F18,$L15:$L18,N15:N18)</f>
        <v>#VALUE!</v>
      </c>
      <c r="V15" s="22" t="e">
        <f>bdrate($D15:$D18,G15:G18,$L15:$L18,O15:O18)</f>
        <v>#VALUE!</v>
      </c>
      <c r="W15" s="44" t="e">
        <f>bdrateOld($D15:$D18,E15:E18,$L15:$L18,M15:M18)</f>
        <v>#VALUE!</v>
      </c>
      <c r="X15" s="45" t="e">
        <f>bdrateOld($D15:$D18,F15:F18,$L15:$L18,N15:N18)</f>
        <v>#VALUE!</v>
      </c>
      <c r="Y15" s="46" t="e">
        <f>bdrateOld($D15:$D18,G15:G18,$L15:$L18,O15:O18)</f>
        <v>#VALUE!</v>
      </c>
      <c r="Z15" s="122" t="e">
        <f t="shared" si="3"/>
        <v>#DIV/0!</v>
      </c>
      <c r="AA15" s="140" t="e">
        <f>AVERAGE(Z15:Z18)</f>
        <v>#DIV/0!</v>
      </c>
      <c r="AB15" s="144" t="e">
        <f ca="1">[1]!BJM(D15:E18,L15:M18,0)</f>
        <v>#NAME?</v>
      </c>
    </row>
    <row r="16" spans="1:28" x14ac:dyDescent="0.2">
      <c r="A16" s="118"/>
      <c r="B16" s="118"/>
      <c r="C16" s="118">
        <v>27</v>
      </c>
      <c r="D16" s="28"/>
      <c r="E16" s="29"/>
      <c r="F16" s="29"/>
      <c r="G16" s="29"/>
      <c r="H16" s="29"/>
      <c r="I16" s="29"/>
      <c r="J16" s="27">
        <f t="shared" si="1"/>
        <v>0</v>
      </c>
      <c r="L16" s="28"/>
      <c r="M16" s="29"/>
      <c r="N16" s="29"/>
      <c r="O16" s="29"/>
      <c r="P16" s="29"/>
      <c r="Q16" s="29"/>
      <c r="R16" s="30">
        <f t="shared" si="2"/>
        <v>0</v>
      </c>
      <c r="S16" s="20"/>
      <c r="T16" s="31"/>
      <c r="U16" s="32"/>
      <c r="V16" s="32"/>
      <c r="W16" s="31"/>
      <c r="X16" s="32"/>
      <c r="Y16" s="33"/>
      <c r="Z16" s="122" t="e">
        <f t="shared" si="3"/>
        <v>#DIV/0!</v>
      </c>
      <c r="AA16" s="33"/>
      <c r="AB16" s="144"/>
    </row>
    <row r="17" spans="1:28" x14ac:dyDescent="0.2">
      <c r="A17" s="118"/>
      <c r="B17" s="118"/>
      <c r="C17" s="118">
        <v>32</v>
      </c>
      <c r="D17" s="28"/>
      <c r="E17" s="29"/>
      <c r="F17" s="29"/>
      <c r="G17" s="29"/>
      <c r="H17" s="29"/>
      <c r="I17" s="29"/>
      <c r="J17" s="27">
        <f t="shared" si="1"/>
        <v>0</v>
      </c>
      <c r="L17" s="28"/>
      <c r="M17" s="29"/>
      <c r="N17" s="29"/>
      <c r="O17" s="29"/>
      <c r="P17" s="29"/>
      <c r="Q17" s="29"/>
      <c r="R17" s="30">
        <f t="shared" si="2"/>
        <v>0</v>
      </c>
      <c r="S17" s="20"/>
      <c r="T17" s="31"/>
      <c r="U17" s="32"/>
      <c r="V17" s="32"/>
      <c r="W17" s="31"/>
      <c r="X17" s="32"/>
      <c r="Y17" s="33"/>
      <c r="Z17" s="122" t="e">
        <f t="shared" si="3"/>
        <v>#DIV/0!</v>
      </c>
      <c r="AA17" s="33"/>
      <c r="AB17" s="144"/>
    </row>
    <row r="18" spans="1:28" ht="12.75" thickBot="1" x14ac:dyDescent="0.25">
      <c r="A18" s="118"/>
      <c r="B18" s="119"/>
      <c r="C18" s="119">
        <v>37</v>
      </c>
      <c r="D18" s="28"/>
      <c r="E18" s="29"/>
      <c r="F18" s="29"/>
      <c r="G18" s="29"/>
      <c r="H18" s="29"/>
      <c r="I18" s="39"/>
      <c r="J18" s="37">
        <f t="shared" si="1"/>
        <v>0</v>
      </c>
      <c r="L18" s="38"/>
      <c r="M18" s="39"/>
      <c r="N18" s="39"/>
      <c r="O18" s="39"/>
      <c r="P18" s="39"/>
      <c r="Q18" s="39"/>
      <c r="R18" s="40">
        <f t="shared" si="2"/>
        <v>0</v>
      </c>
      <c r="S18" s="20"/>
      <c r="T18" s="41"/>
      <c r="U18" s="42"/>
      <c r="V18" s="42"/>
      <c r="W18" s="41"/>
      <c r="X18" s="42"/>
      <c r="Y18" s="43"/>
      <c r="Z18" s="123" t="e">
        <f t="shared" si="3"/>
        <v>#DIV/0!</v>
      </c>
      <c r="AA18" s="43"/>
      <c r="AB18" s="144"/>
    </row>
    <row r="19" spans="1:28" x14ac:dyDescent="0.2">
      <c r="A19" s="13" t="s">
        <v>103</v>
      </c>
      <c r="B19" s="13" t="s">
        <v>104</v>
      </c>
      <c r="C19" s="13">
        <v>22</v>
      </c>
      <c r="D19" s="17">
        <v>3623.6352000000002</v>
      </c>
      <c r="E19" s="18">
        <v>43.885019999999997</v>
      </c>
      <c r="F19" s="18">
        <v>44.572904000000001</v>
      </c>
      <c r="G19" s="18">
        <v>44.104236999999998</v>
      </c>
      <c r="H19" s="18">
        <v>5149.6779999999999</v>
      </c>
      <c r="I19" s="15"/>
      <c r="J19" s="16">
        <f t="shared" si="1"/>
        <v>1.430466111111111</v>
      </c>
      <c r="L19" s="14">
        <v>3623.6352000000002</v>
      </c>
      <c r="M19" s="15">
        <v>43.885019999999997</v>
      </c>
      <c r="N19" s="15">
        <v>44.572904000000001</v>
      </c>
      <c r="O19" s="15">
        <v>44.104236999999998</v>
      </c>
      <c r="P19" s="15">
        <v>5191.7979999999998</v>
      </c>
      <c r="Q19" s="15"/>
      <c r="R19" s="16">
        <f t="shared" si="2"/>
        <v>1.442166111111111</v>
      </c>
      <c r="S19" s="20"/>
      <c r="T19" s="21">
        <f>bdrate($D19:$D22,E19:E22,$L19:$L22,M19:M22)</f>
        <v>0</v>
      </c>
      <c r="U19" s="22">
        <f>bdrate($D19:$D22,F19:F22,$L19:$L22,N19:N22)</f>
        <v>0</v>
      </c>
      <c r="V19" s="22">
        <f>bdrate($D19:$D22,G19:G22,$L19:$L22,O19:O22)</f>
        <v>0</v>
      </c>
      <c r="W19" s="44">
        <f>bdrateOld($D19:$D22,E19:E22,$L19:$L22,M19:M22)</f>
        <v>0</v>
      </c>
      <c r="X19" s="45">
        <f>bdrateOld($D19:$D22,F19:F22,$L19:$L22,N19:N22)</f>
        <v>0</v>
      </c>
      <c r="Y19" s="46">
        <f>bdrateOld($D19:$D22,G19:G22,$L19:$L22,O19:O22)</f>
        <v>0</v>
      </c>
      <c r="Z19" s="122">
        <f t="shared" ref="Z19:Z26" si="4">(H19-P19)/H19</f>
        <v>-8.1791521722328845E-3</v>
      </c>
      <c r="AA19" s="140">
        <f>AVERAGE(Z19:Z22)</f>
        <v>-1.2871267280287979E-2</v>
      </c>
      <c r="AB19" s="144" t="e">
        <f ca="1">[1]!BJM(D19:E22,L19:M22,0)</f>
        <v>#NAME?</v>
      </c>
    </row>
    <row r="20" spans="1:28" x14ac:dyDescent="0.2">
      <c r="A20" s="24" t="s">
        <v>16</v>
      </c>
      <c r="B20" s="24"/>
      <c r="C20" s="24">
        <v>27</v>
      </c>
      <c r="D20" s="28">
        <v>1435.6056000000001</v>
      </c>
      <c r="E20" s="29">
        <v>41.079810999999999</v>
      </c>
      <c r="F20" s="29">
        <v>42.407150000000001</v>
      </c>
      <c r="G20" s="29">
        <v>41.883803999999998</v>
      </c>
      <c r="H20" s="29">
        <v>4200.5410000000002</v>
      </c>
      <c r="I20" s="26"/>
      <c r="J20" s="27">
        <f t="shared" si="1"/>
        <v>1.1668169444444445</v>
      </c>
      <c r="L20" s="25">
        <v>1435.6056000000001</v>
      </c>
      <c r="M20" s="26">
        <v>41.079810999999999</v>
      </c>
      <c r="N20" s="26">
        <v>42.407150000000001</v>
      </c>
      <c r="O20" s="26">
        <v>41.883803999999998</v>
      </c>
      <c r="P20" s="26">
        <v>4248.7920000000004</v>
      </c>
      <c r="Q20" s="26"/>
      <c r="R20" s="27">
        <f t="shared" si="2"/>
        <v>1.18022</v>
      </c>
      <c r="S20" s="20"/>
      <c r="T20" s="31"/>
      <c r="U20" s="32"/>
      <c r="V20" s="32"/>
      <c r="W20" s="31"/>
      <c r="X20" s="32"/>
      <c r="Y20" s="33"/>
      <c r="Z20" s="122">
        <f t="shared" si="4"/>
        <v>-1.1486853717176003E-2</v>
      </c>
      <c r="AA20" s="33"/>
      <c r="AB20" s="145"/>
    </row>
    <row r="21" spans="1:28" x14ac:dyDescent="0.2">
      <c r="A21" s="24"/>
      <c r="B21" s="24"/>
      <c r="C21" s="24">
        <v>32</v>
      </c>
      <c r="D21" s="28">
        <v>651.46320000000003</v>
      </c>
      <c r="E21" s="29">
        <v>38.411698000000001</v>
      </c>
      <c r="F21" s="29">
        <v>40.657561000000001</v>
      </c>
      <c r="G21" s="29">
        <v>40.155127</v>
      </c>
      <c r="H21" s="29">
        <v>3604.027</v>
      </c>
      <c r="I21" s="26"/>
      <c r="J21" s="27">
        <f t="shared" si="1"/>
        <v>1.0011186111111112</v>
      </c>
      <c r="L21" s="25">
        <v>651.46320000000003</v>
      </c>
      <c r="M21" s="26">
        <v>38.411698000000001</v>
      </c>
      <c r="N21" s="26">
        <v>40.657561000000001</v>
      </c>
      <c r="O21" s="26">
        <v>40.155127</v>
      </c>
      <c r="P21" s="26">
        <v>3651.826</v>
      </c>
      <c r="Q21" s="26"/>
      <c r="R21" s="27">
        <f t="shared" si="2"/>
        <v>1.0143961111111111</v>
      </c>
      <c r="S21" s="20"/>
      <c r="T21" s="31"/>
      <c r="U21" s="32"/>
      <c r="V21" s="32"/>
      <c r="W21" s="31"/>
      <c r="X21" s="32"/>
      <c r="Y21" s="33"/>
      <c r="Z21" s="122">
        <f t="shared" si="4"/>
        <v>-1.3262664236422196E-2</v>
      </c>
      <c r="AA21" s="33"/>
      <c r="AB21" s="145"/>
    </row>
    <row r="22" spans="1:28" ht="12.75" thickBot="1" x14ac:dyDescent="0.25">
      <c r="A22" s="24"/>
      <c r="B22" s="34"/>
      <c r="C22" s="34">
        <v>37</v>
      </c>
      <c r="D22" s="28">
        <v>328.44959999999998</v>
      </c>
      <c r="E22" s="29">
        <v>35.796441999999999</v>
      </c>
      <c r="F22" s="29">
        <v>39.477668999999999</v>
      </c>
      <c r="G22" s="29">
        <v>38.924812000000003</v>
      </c>
      <c r="H22" s="29">
        <v>3222.123</v>
      </c>
      <c r="I22" s="36"/>
      <c r="J22" s="37">
        <f t="shared" si="1"/>
        <v>0.89503416666666669</v>
      </c>
      <c r="L22" s="25">
        <v>328.44959999999998</v>
      </c>
      <c r="M22" s="26">
        <v>35.796441999999999</v>
      </c>
      <c r="N22" s="26">
        <v>39.477668999999999</v>
      </c>
      <c r="O22" s="26">
        <v>38.924812000000003</v>
      </c>
      <c r="P22" s="26">
        <v>3281.9140000000002</v>
      </c>
      <c r="Q22" s="36"/>
      <c r="R22" s="37">
        <f t="shared" si="2"/>
        <v>0.9116427777777778</v>
      </c>
      <c r="S22" s="20"/>
      <c r="T22" s="41"/>
      <c r="U22" s="42"/>
      <c r="V22" s="42"/>
      <c r="W22" s="41"/>
      <c r="X22" s="42"/>
      <c r="Y22" s="43"/>
      <c r="Z22" s="123">
        <f t="shared" si="4"/>
        <v>-1.8556398995320838E-2</v>
      </c>
      <c r="AA22" s="43"/>
      <c r="AB22" s="145"/>
    </row>
    <row r="23" spans="1:28" x14ac:dyDescent="0.2">
      <c r="A23" s="24"/>
      <c r="B23" s="13" t="s">
        <v>105</v>
      </c>
      <c r="C23" s="13">
        <v>22</v>
      </c>
      <c r="D23" s="17">
        <v>3623.6352000000002</v>
      </c>
      <c r="E23" s="18">
        <v>43.885019999999997</v>
      </c>
      <c r="F23" s="18">
        <v>44.572904000000001</v>
      </c>
      <c r="G23" s="18">
        <v>44.104236999999998</v>
      </c>
      <c r="H23" s="18">
        <v>5149.6779999999999</v>
      </c>
      <c r="I23" s="15"/>
      <c r="J23" s="16">
        <f t="shared" si="1"/>
        <v>1.430466111111111</v>
      </c>
      <c r="L23" s="14">
        <v>3623.2440000000001</v>
      </c>
      <c r="M23" s="15">
        <v>43.863754</v>
      </c>
      <c r="N23" s="15">
        <v>44.572502999999998</v>
      </c>
      <c r="O23" s="15">
        <v>44.101675999999998</v>
      </c>
      <c r="P23" s="15">
        <v>4664.5330000000004</v>
      </c>
      <c r="Q23" s="15"/>
      <c r="R23" s="16">
        <f t="shared" si="2"/>
        <v>1.2957036111111113</v>
      </c>
      <c r="S23" s="20"/>
      <c r="T23" s="21">
        <f>bdrate($D23:$D26,E23:E26,$L23:$L26,M23:M26)</f>
        <v>2.5147897391633034E-3</v>
      </c>
      <c r="U23" s="22">
        <f>bdrate($D23:$D26,F23:F26,$L23:$L26,N23:N26)</f>
        <v>-1.6740531065091435E-3</v>
      </c>
      <c r="V23" s="22">
        <f>bdrate($D23:$D26,G23:G26,$L23:$L26,O23:O26)</f>
        <v>-1.4980195280794861E-3</v>
      </c>
      <c r="W23" s="44">
        <f>bdrateOld($D23:$D26,E23:E26,$L23:$L26,M23:M26)</f>
        <v>2.4719077189594429E-3</v>
      </c>
      <c r="X23" s="45">
        <f>bdrateOld($D23:$D26,F23:F26,$L23:$L26,N23:N26)</f>
        <v>-1.7999209589110166E-3</v>
      </c>
      <c r="Y23" s="46">
        <f>bdrateOld($D23:$D26,G23:G26,$L23:$L26,O23:O26)</f>
        <v>-1.3516042777318438E-3</v>
      </c>
      <c r="Z23" s="122">
        <f t="shared" si="4"/>
        <v>9.4208802958165444E-2</v>
      </c>
      <c r="AA23" s="141">
        <f>AVERAGE(Z23:Z26)</f>
        <v>0.10837152186407711</v>
      </c>
      <c r="AB23" s="144" t="e">
        <f ca="1">[1]!BJM(D23:E26,L23:M26,0)</f>
        <v>#NAME?</v>
      </c>
    </row>
    <row r="24" spans="1:28" x14ac:dyDescent="0.2">
      <c r="A24" s="24"/>
      <c r="B24" s="24"/>
      <c r="C24" s="24">
        <v>27</v>
      </c>
      <c r="D24" s="28">
        <v>1435.6056000000001</v>
      </c>
      <c r="E24" s="29">
        <v>41.079810999999999</v>
      </c>
      <c r="F24" s="29">
        <v>42.407150000000001</v>
      </c>
      <c r="G24" s="29">
        <v>41.883803999999998</v>
      </c>
      <c r="H24" s="29">
        <v>4200.5410000000002</v>
      </c>
      <c r="I24" s="26"/>
      <c r="J24" s="27">
        <f t="shared" si="1"/>
        <v>1.1668169444444445</v>
      </c>
      <c r="L24" s="25">
        <v>1433.3856000000001</v>
      </c>
      <c r="M24" s="26">
        <v>41.064794999999997</v>
      </c>
      <c r="N24" s="26">
        <v>42.420952</v>
      </c>
      <c r="O24" s="26">
        <v>41.885424999999998</v>
      </c>
      <c r="P24" s="26">
        <v>3757.5309999999999</v>
      </c>
      <c r="Q24" s="26"/>
      <c r="R24" s="27">
        <f t="shared" si="2"/>
        <v>1.043758611111111</v>
      </c>
      <c r="S24" s="20"/>
      <c r="T24" s="31"/>
      <c r="U24" s="32"/>
      <c r="V24" s="32"/>
      <c r="W24" s="31"/>
      <c r="X24" s="32"/>
      <c r="Y24" s="33"/>
      <c r="Z24" s="122">
        <f t="shared" si="4"/>
        <v>0.10546498653387747</v>
      </c>
      <c r="AA24" s="33"/>
      <c r="AB24" s="145"/>
    </row>
    <row r="25" spans="1:28" x14ac:dyDescent="0.2">
      <c r="A25" s="24"/>
      <c r="B25" s="24"/>
      <c r="C25" s="24">
        <v>32</v>
      </c>
      <c r="D25" s="28">
        <v>651.46320000000003</v>
      </c>
      <c r="E25" s="29">
        <v>38.411698000000001</v>
      </c>
      <c r="F25" s="29">
        <v>40.657561000000001</v>
      </c>
      <c r="G25" s="29">
        <v>40.155127</v>
      </c>
      <c r="H25" s="29">
        <v>3604.027</v>
      </c>
      <c r="I25" s="26"/>
      <c r="J25" s="27">
        <f t="shared" si="1"/>
        <v>1.0011186111111112</v>
      </c>
      <c r="L25" s="25">
        <v>652.6848</v>
      </c>
      <c r="M25" s="26">
        <v>38.407353999999998</v>
      </c>
      <c r="N25" s="26">
        <v>40.654752999999999</v>
      </c>
      <c r="O25" s="26">
        <v>40.163814000000002</v>
      </c>
      <c r="P25" s="26">
        <v>3202.1239999999998</v>
      </c>
      <c r="Q25" s="26"/>
      <c r="R25" s="27">
        <f t="shared" si="2"/>
        <v>0.88947888888888882</v>
      </c>
      <c r="S25" s="20"/>
      <c r="T25" s="31"/>
      <c r="U25" s="32"/>
      <c r="V25" s="32"/>
      <c r="W25" s="31"/>
      <c r="X25" s="32"/>
      <c r="Y25" s="33"/>
      <c r="Z25" s="122">
        <f t="shared" si="4"/>
        <v>0.11151498032617409</v>
      </c>
      <c r="AA25" s="33"/>
      <c r="AB25" s="145"/>
    </row>
    <row r="26" spans="1:28" ht="12.75" thickBot="1" x14ac:dyDescent="0.25">
      <c r="A26" s="24"/>
      <c r="B26" s="34"/>
      <c r="C26" s="34">
        <v>37</v>
      </c>
      <c r="D26" s="28">
        <v>328.44959999999998</v>
      </c>
      <c r="E26" s="29">
        <v>35.796441999999999</v>
      </c>
      <c r="F26" s="29">
        <v>39.477668999999999</v>
      </c>
      <c r="G26" s="29">
        <v>38.924812000000003</v>
      </c>
      <c r="H26" s="29">
        <v>3222.123</v>
      </c>
      <c r="I26" s="36"/>
      <c r="J26" s="37">
        <f t="shared" si="1"/>
        <v>0.89503416666666669</v>
      </c>
      <c r="L26" s="25">
        <v>327.33839999999998</v>
      </c>
      <c r="M26" s="26">
        <v>35.808902000000003</v>
      </c>
      <c r="N26" s="26">
        <v>39.454735999999997</v>
      </c>
      <c r="O26" s="26">
        <v>38.916702999999998</v>
      </c>
      <c r="P26" s="26">
        <v>2828.0659999999998</v>
      </c>
      <c r="Q26" s="36"/>
      <c r="R26" s="37">
        <f t="shared" si="2"/>
        <v>0.78557388888888879</v>
      </c>
      <c r="S26" s="20"/>
      <c r="T26" s="41"/>
      <c r="U26" s="42"/>
      <c r="V26" s="42"/>
      <c r="W26" s="41"/>
      <c r="X26" s="42"/>
      <c r="Y26" s="43"/>
      <c r="Z26" s="123">
        <f t="shared" si="4"/>
        <v>0.12229731763809149</v>
      </c>
      <c r="AA26" s="43"/>
      <c r="AB26" s="145"/>
    </row>
    <row r="27" spans="1:28" x14ac:dyDescent="0.2">
      <c r="A27" s="24"/>
      <c r="B27" s="13" t="s">
        <v>106</v>
      </c>
      <c r="C27" s="13">
        <v>22</v>
      </c>
      <c r="D27" s="17">
        <v>3623.6352000000002</v>
      </c>
      <c r="E27" s="18">
        <v>43.885019999999997</v>
      </c>
      <c r="F27" s="18">
        <v>44.572904000000001</v>
      </c>
      <c r="G27" s="18">
        <v>44.104236999999998</v>
      </c>
      <c r="H27" s="18">
        <v>5149.6779999999999</v>
      </c>
      <c r="I27" s="15"/>
      <c r="J27" s="16">
        <f t="shared" si="1"/>
        <v>1.430466111111111</v>
      </c>
      <c r="L27" s="14">
        <v>3633.4872</v>
      </c>
      <c r="M27" s="15">
        <v>43.779603000000002</v>
      </c>
      <c r="N27" s="15">
        <v>44.519770000000001</v>
      </c>
      <c r="O27" s="15">
        <v>44.031948</v>
      </c>
      <c r="P27" s="15">
        <v>4118.9530000000004</v>
      </c>
      <c r="Q27" s="15"/>
      <c r="R27" s="16">
        <f t="shared" si="2"/>
        <v>1.1441536111111112</v>
      </c>
      <c r="S27" s="20"/>
      <c r="T27" s="21">
        <f>bdrate($D27:$D30,E27:E30,$L27:$L30,M27:M30)</f>
        <v>2.3854587655323778E-2</v>
      </c>
      <c r="U27" s="22">
        <f>bdrate($D27:$D30,F27:F30,$L27:$L30,N27:N30)</f>
        <v>2.7221132333388853E-2</v>
      </c>
      <c r="V27" s="22">
        <f>bdrate($D27:$D30,G27:G30,$L27:$L30,O27:O30)</f>
        <v>2.5399489334052339E-2</v>
      </c>
      <c r="W27" s="44">
        <f>bdrateOld($D27:$D30,E27:E30,$L27:$L30,M27:M30)</f>
        <v>2.3795519740771764E-2</v>
      </c>
      <c r="X27" s="45">
        <f>bdrateOld($D27:$D30,F27:F30,$L27:$L30,N27:N30)</f>
        <v>2.6383107114657411E-2</v>
      </c>
      <c r="Y27" s="46">
        <f>bdrateOld($D27:$D30,G27:G30,$L27:$L30,O27:O30)</f>
        <v>2.5689843136177615E-2</v>
      </c>
      <c r="Z27" s="122">
        <f t="shared" ref="Z27:Z38" si="5">(H27-P27)/H27</f>
        <v>0.20015329113781474</v>
      </c>
      <c r="AA27" s="141">
        <f>AVERAGE(Z27:Z30)</f>
        <v>0.21193922478436136</v>
      </c>
      <c r="AB27" s="144" t="e">
        <f ca="1">[1]!BJM(D27:E30,L27:M30,0)</f>
        <v>#NAME?</v>
      </c>
    </row>
    <row r="28" spans="1:28" x14ac:dyDescent="0.2">
      <c r="A28" s="24"/>
      <c r="B28" s="118"/>
      <c r="C28" s="24">
        <v>27</v>
      </c>
      <c r="D28" s="28">
        <v>1435.6056000000001</v>
      </c>
      <c r="E28" s="29">
        <v>41.079810999999999</v>
      </c>
      <c r="F28" s="29">
        <v>42.407150000000001</v>
      </c>
      <c r="G28" s="29">
        <v>41.883803999999998</v>
      </c>
      <c r="H28" s="29">
        <v>4200.5410000000002</v>
      </c>
      <c r="I28" s="26"/>
      <c r="J28" s="27">
        <f t="shared" si="1"/>
        <v>1.1668169444444445</v>
      </c>
      <c r="L28" s="25">
        <v>1445.3496</v>
      </c>
      <c r="M28" s="26">
        <v>41.016866999999998</v>
      </c>
      <c r="N28" s="26">
        <v>42.369199000000002</v>
      </c>
      <c r="O28" s="26">
        <v>41.846822000000003</v>
      </c>
      <c r="P28" s="26">
        <v>3346.7049999999999</v>
      </c>
      <c r="Q28" s="26"/>
      <c r="R28" s="27">
        <f t="shared" si="2"/>
        <v>0.9296402777777778</v>
      </c>
      <c r="S28" s="20"/>
      <c r="T28" s="31"/>
      <c r="U28" s="32"/>
      <c r="V28" s="32"/>
      <c r="W28" s="31"/>
      <c r="X28" s="32"/>
      <c r="Y28" s="33"/>
      <c r="Z28" s="122">
        <f t="shared" si="5"/>
        <v>0.2032681028467524</v>
      </c>
      <c r="AA28" s="127"/>
      <c r="AB28" s="145"/>
    </row>
    <row r="29" spans="1:28" x14ac:dyDescent="0.2">
      <c r="A29" s="24"/>
      <c r="B29" s="118"/>
      <c r="C29" s="24">
        <v>32</v>
      </c>
      <c r="D29" s="28">
        <v>651.46320000000003</v>
      </c>
      <c r="E29" s="29">
        <v>38.411698000000001</v>
      </c>
      <c r="F29" s="29">
        <v>40.657561000000001</v>
      </c>
      <c r="G29" s="29">
        <v>40.155127</v>
      </c>
      <c r="H29" s="29">
        <v>3604.027</v>
      </c>
      <c r="I29" s="26"/>
      <c r="J29" s="27">
        <f t="shared" si="1"/>
        <v>1.0011186111111112</v>
      </c>
      <c r="L29" s="25">
        <v>655.70159999999998</v>
      </c>
      <c r="M29" s="26">
        <v>38.358944000000001</v>
      </c>
      <c r="N29" s="26">
        <v>40.603729999999999</v>
      </c>
      <c r="O29" s="26">
        <v>40.122008000000001</v>
      </c>
      <c r="P29" s="26">
        <v>2827.7080000000001</v>
      </c>
      <c r="Q29" s="26"/>
      <c r="R29" s="27">
        <f t="shared" si="2"/>
        <v>0.78547444444444448</v>
      </c>
      <c r="S29" s="20"/>
      <c r="T29" s="31"/>
      <c r="U29" s="32"/>
      <c r="V29" s="32"/>
      <c r="W29" s="31"/>
      <c r="X29" s="32"/>
      <c r="Y29" s="33"/>
      <c r="Z29" s="122">
        <f t="shared" si="5"/>
        <v>0.21540321423785114</v>
      </c>
      <c r="AA29" s="127"/>
      <c r="AB29" s="145"/>
    </row>
    <row r="30" spans="1:28" ht="12.75" thickBot="1" x14ac:dyDescent="0.25">
      <c r="A30" s="24"/>
      <c r="B30" s="119"/>
      <c r="C30" s="34">
        <v>37</v>
      </c>
      <c r="D30" s="28">
        <v>328.44959999999998</v>
      </c>
      <c r="E30" s="29">
        <v>35.796441999999999</v>
      </c>
      <c r="F30" s="29">
        <v>39.477668999999999</v>
      </c>
      <c r="G30" s="29">
        <v>38.924812000000003</v>
      </c>
      <c r="H30" s="29">
        <v>3222.123</v>
      </c>
      <c r="I30" s="36"/>
      <c r="J30" s="37">
        <f t="shared" si="1"/>
        <v>0.89503416666666669</v>
      </c>
      <c r="L30" s="25">
        <v>328.98</v>
      </c>
      <c r="M30" s="26">
        <v>35.785125000000001</v>
      </c>
      <c r="N30" s="26">
        <v>39.441633000000003</v>
      </c>
      <c r="O30" s="26">
        <v>38.875511000000003</v>
      </c>
      <c r="P30" s="26">
        <v>2484.4749999999999</v>
      </c>
      <c r="Q30" s="36"/>
      <c r="R30" s="37">
        <f t="shared" si="2"/>
        <v>0.69013194444444437</v>
      </c>
      <c r="S30" s="20"/>
      <c r="T30" s="41"/>
      <c r="U30" s="42"/>
      <c r="V30" s="42"/>
      <c r="W30" s="41"/>
      <c r="X30" s="42"/>
      <c r="Y30" s="43"/>
      <c r="Z30" s="123">
        <f t="shared" si="5"/>
        <v>0.22893229091502718</v>
      </c>
      <c r="AA30" s="128"/>
      <c r="AB30" s="145"/>
    </row>
    <row r="31" spans="1:28" x14ac:dyDescent="0.2">
      <c r="A31" s="24"/>
      <c r="B31" s="13"/>
      <c r="C31" s="13">
        <v>22</v>
      </c>
      <c r="D31" s="17"/>
      <c r="E31" s="18"/>
      <c r="F31" s="18"/>
      <c r="G31" s="18"/>
      <c r="H31" s="18"/>
      <c r="I31" s="15"/>
      <c r="J31" s="16">
        <f>H31/3600</f>
        <v>0</v>
      </c>
      <c r="L31" s="14"/>
      <c r="M31" s="15"/>
      <c r="N31" s="15"/>
      <c r="O31" s="15"/>
      <c r="P31" s="15"/>
      <c r="Q31" s="15"/>
      <c r="R31" s="16">
        <f t="shared" si="2"/>
        <v>0</v>
      </c>
      <c r="S31" s="20"/>
      <c r="T31" s="21" t="e">
        <f>bdrate($D31:$D34,E31:E34,$L31:$L34,M31:M34)</f>
        <v>#VALUE!</v>
      </c>
      <c r="U31" s="22" t="e">
        <f>bdrate($D31:$D34,F31:F34,$L31:$L34,N31:N34)</f>
        <v>#VALUE!</v>
      </c>
      <c r="V31" s="22" t="e">
        <f>bdrate($D31:$D34,G31:G34,$L31:$L34,O31:O34)</f>
        <v>#VALUE!</v>
      </c>
      <c r="W31" s="44" t="e">
        <f>bdrateOld($D31:$D34,E31:E34,$L31:$L34,M31:M34)</f>
        <v>#VALUE!</v>
      </c>
      <c r="X31" s="45" t="e">
        <f>bdrateOld($D31:$D34,F31:F34,$L31:$L34,N31:N34)</f>
        <v>#VALUE!</v>
      </c>
      <c r="Y31" s="46" t="e">
        <f>bdrateOld($D31:$D34,G31:G34,$L31:$L34,O31:O34)</f>
        <v>#VALUE!</v>
      </c>
      <c r="Z31" s="122" t="e">
        <f t="shared" si="5"/>
        <v>#DIV/0!</v>
      </c>
      <c r="AA31" s="141" t="e">
        <f>AVERAGE(Z31:Z34)</f>
        <v>#DIV/0!</v>
      </c>
      <c r="AB31" s="144" t="e">
        <f ca="1">[1]!BJM(D31:E34,L31:M34,0)</f>
        <v>#NAME?</v>
      </c>
    </row>
    <row r="32" spans="1:28" x14ac:dyDescent="0.2">
      <c r="A32" s="24"/>
      <c r="B32" s="24"/>
      <c r="C32" s="24">
        <v>27</v>
      </c>
      <c r="D32" s="28"/>
      <c r="E32" s="29"/>
      <c r="F32" s="29"/>
      <c r="G32" s="29"/>
      <c r="H32" s="29"/>
      <c r="I32" s="26"/>
      <c r="J32" s="27">
        <f>H32/3600</f>
        <v>0</v>
      </c>
      <c r="L32" s="25"/>
      <c r="M32" s="26"/>
      <c r="N32" s="26"/>
      <c r="O32" s="26"/>
      <c r="P32" s="26"/>
      <c r="Q32" s="26"/>
      <c r="R32" s="27">
        <f t="shared" si="2"/>
        <v>0</v>
      </c>
      <c r="S32" s="20"/>
      <c r="T32" s="31"/>
      <c r="U32" s="32"/>
      <c r="V32" s="32"/>
      <c r="W32" s="31"/>
      <c r="X32" s="32"/>
      <c r="Y32" s="33"/>
      <c r="Z32" s="122" t="e">
        <f t="shared" si="5"/>
        <v>#DIV/0!</v>
      </c>
      <c r="AA32" s="127"/>
      <c r="AB32" s="145"/>
    </row>
    <row r="33" spans="1:28" x14ac:dyDescent="0.2">
      <c r="A33" s="24"/>
      <c r="B33" s="24"/>
      <c r="C33" s="24">
        <v>32</v>
      </c>
      <c r="D33" s="28"/>
      <c r="E33" s="29"/>
      <c r="F33" s="29"/>
      <c r="G33" s="29"/>
      <c r="H33" s="29"/>
      <c r="I33" s="26"/>
      <c r="J33" s="27">
        <f t="shared" ref="J33:J46" si="6">H33/3600</f>
        <v>0</v>
      </c>
      <c r="L33" s="25"/>
      <c r="M33" s="26"/>
      <c r="N33" s="26"/>
      <c r="O33" s="26"/>
      <c r="P33" s="26"/>
      <c r="Q33" s="26"/>
      <c r="R33" s="27">
        <f t="shared" si="2"/>
        <v>0</v>
      </c>
      <c r="S33" s="20"/>
      <c r="T33" s="31"/>
      <c r="U33" s="32"/>
      <c r="V33" s="32"/>
      <c r="W33" s="31"/>
      <c r="X33" s="32"/>
      <c r="Y33" s="33"/>
      <c r="Z33" s="122" t="e">
        <f t="shared" si="5"/>
        <v>#DIV/0!</v>
      </c>
      <c r="AA33" s="127"/>
      <c r="AB33" s="145"/>
    </row>
    <row r="34" spans="1:28" ht="12.75" thickBot="1" x14ac:dyDescent="0.25">
      <c r="A34" s="24"/>
      <c r="B34" s="34"/>
      <c r="C34" s="34">
        <v>37</v>
      </c>
      <c r="D34" s="28"/>
      <c r="E34" s="29"/>
      <c r="F34" s="29"/>
      <c r="G34" s="29"/>
      <c r="H34" s="29"/>
      <c r="I34" s="36"/>
      <c r="J34" s="37">
        <f t="shared" si="6"/>
        <v>0</v>
      </c>
      <c r="K34" s="151"/>
      <c r="L34" s="25"/>
      <c r="M34" s="26"/>
      <c r="N34" s="26"/>
      <c r="O34" s="26"/>
      <c r="P34" s="26"/>
      <c r="Q34" s="36"/>
      <c r="R34" s="37">
        <f t="shared" si="2"/>
        <v>0</v>
      </c>
      <c r="S34" s="20"/>
      <c r="T34" s="41"/>
      <c r="U34" s="42"/>
      <c r="V34" s="42"/>
      <c r="W34" s="41"/>
      <c r="X34" s="42"/>
      <c r="Y34" s="43"/>
      <c r="Z34" s="123" t="e">
        <f t="shared" si="5"/>
        <v>#DIV/0!</v>
      </c>
      <c r="AA34" s="128"/>
      <c r="AB34" s="145"/>
    </row>
    <row r="35" spans="1:28" x14ac:dyDescent="0.2">
      <c r="A35" s="117" t="s">
        <v>107</v>
      </c>
      <c r="B35" s="13" t="s">
        <v>104</v>
      </c>
      <c r="C35" s="117">
        <v>22</v>
      </c>
      <c r="D35" s="17">
        <v>3623.6352000000002</v>
      </c>
      <c r="E35" s="18">
        <v>43.885019999999997</v>
      </c>
      <c r="F35" s="18">
        <v>44.572904000000001</v>
      </c>
      <c r="G35" s="18">
        <v>44.104236999999998</v>
      </c>
      <c r="H35" s="18">
        <v>5149.6779999999999</v>
      </c>
      <c r="I35" s="15"/>
      <c r="J35" s="16">
        <f t="shared" si="6"/>
        <v>1.430466111111111</v>
      </c>
      <c r="K35" s="151"/>
      <c r="L35" s="14">
        <v>3631.2431999999999</v>
      </c>
      <c r="M35" s="15">
        <v>43.878886000000001</v>
      </c>
      <c r="N35" s="15">
        <v>44.550646999999998</v>
      </c>
      <c r="O35" s="15">
        <v>44.093684000000003</v>
      </c>
      <c r="P35" s="15">
        <v>4874.0720000000001</v>
      </c>
      <c r="Q35" s="15"/>
      <c r="R35" s="16">
        <f t="shared" si="2"/>
        <v>1.3539088888888888</v>
      </c>
      <c r="S35" s="20"/>
      <c r="T35" s="21">
        <f>bdrate($D35:$D38,E35:E38,$L35:$L38,M35:M38)</f>
        <v>1.3744645751446294E-2</v>
      </c>
      <c r="U35" s="22">
        <f>bdrate($D35:$D38,F35:F38,$L35:$L38,N35:N38)</f>
        <v>3.0644398003621953E-2</v>
      </c>
      <c r="V35" s="22">
        <f>bdrate($D35:$D38,G35:G38,$L35:$L38,O35:O38)</f>
        <v>2.1821627794766485E-2</v>
      </c>
      <c r="W35" s="44">
        <f>bdrateOld($D35:$D38,E35:E38,$L35:$L38,M35:M38)</f>
        <v>1.3717630393205171E-2</v>
      </c>
      <c r="X35" s="45">
        <f>bdrateOld($D35:$D38,F35:F38,$L35:$L38,N35:N38)</f>
        <v>2.9196955433678617E-2</v>
      </c>
      <c r="Y35" s="46">
        <f>bdrateOld($D35:$D38,G35:G38,$L35:$L38,O35:O38)</f>
        <v>2.0937825702652901E-2</v>
      </c>
      <c r="Z35" s="122">
        <f t="shared" si="5"/>
        <v>5.3519074396496204E-2</v>
      </c>
      <c r="AA35" s="141">
        <f>AVERAGE(Z35:Z38)</f>
        <v>5.1445916078003751E-2</v>
      </c>
      <c r="AB35" s="144" t="e">
        <f ca="1">[1]!BJM(D35:E38,L35:M38,0)</f>
        <v>#NAME?</v>
      </c>
    </row>
    <row r="36" spans="1:28" x14ac:dyDescent="0.2">
      <c r="A36" s="118"/>
      <c r="B36" s="24"/>
      <c r="C36" s="118">
        <v>27</v>
      </c>
      <c r="D36" s="28">
        <v>1435.6056000000001</v>
      </c>
      <c r="E36" s="29">
        <v>41.079810999999999</v>
      </c>
      <c r="F36" s="29">
        <v>42.407150000000001</v>
      </c>
      <c r="G36" s="29">
        <v>41.883803999999998</v>
      </c>
      <c r="H36" s="29">
        <v>4200.5410000000002</v>
      </c>
      <c r="I36" s="26"/>
      <c r="J36" s="27">
        <f t="shared" si="6"/>
        <v>1.1668169444444445</v>
      </c>
      <c r="K36" s="151"/>
      <c r="L36" s="25">
        <v>1443.2303999999999</v>
      </c>
      <c r="M36" s="26">
        <v>41.063614000000001</v>
      </c>
      <c r="N36" s="26">
        <v>42.369587000000003</v>
      </c>
      <c r="O36" s="26">
        <v>41.856602000000002</v>
      </c>
      <c r="P36" s="26">
        <v>3967.43</v>
      </c>
      <c r="Q36" s="26"/>
      <c r="R36" s="27">
        <f t="shared" si="2"/>
        <v>1.102063888888889</v>
      </c>
      <c r="S36" s="20"/>
      <c r="T36" s="31"/>
      <c r="U36" s="32"/>
      <c r="V36" s="32"/>
      <c r="W36" s="31"/>
      <c r="X36" s="32"/>
      <c r="Y36" s="33"/>
      <c r="Z36" s="122">
        <f t="shared" si="5"/>
        <v>5.5495470702464356E-2</v>
      </c>
      <c r="AA36" s="127"/>
      <c r="AB36" s="145"/>
    </row>
    <row r="37" spans="1:28" x14ac:dyDescent="0.2">
      <c r="A37" s="118"/>
      <c r="B37" s="24"/>
      <c r="C37" s="118">
        <v>32</v>
      </c>
      <c r="D37" s="28">
        <v>651.46320000000003</v>
      </c>
      <c r="E37" s="29">
        <v>38.411698000000001</v>
      </c>
      <c r="F37" s="29">
        <v>40.657561000000001</v>
      </c>
      <c r="G37" s="29">
        <v>40.155127</v>
      </c>
      <c r="H37" s="29">
        <v>3604.027</v>
      </c>
      <c r="I37" s="26"/>
      <c r="J37" s="27">
        <f t="shared" si="6"/>
        <v>1.0011186111111112</v>
      </c>
      <c r="K37" s="151"/>
      <c r="L37" s="25">
        <v>658.12080000000003</v>
      </c>
      <c r="M37" s="26">
        <v>38.381855000000002</v>
      </c>
      <c r="N37" s="26">
        <v>40.579427000000003</v>
      </c>
      <c r="O37" s="26">
        <v>40.106878000000002</v>
      </c>
      <c r="P37" s="26">
        <v>3430.056</v>
      </c>
      <c r="Q37" s="26"/>
      <c r="R37" s="27">
        <f t="shared" si="2"/>
        <v>0.95279333333333338</v>
      </c>
      <c r="S37" s="20"/>
      <c r="T37" s="31"/>
      <c r="U37" s="32"/>
      <c r="V37" s="32"/>
      <c r="W37" s="31"/>
      <c r="X37" s="32"/>
      <c r="Y37" s="33"/>
      <c r="Z37" s="122">
        <f t="shared" si="5"/>
        <v>4.8271280986518693E-2</v>
      </c>
      <c r="AA37" s="127"/>
      <c r="AB37" s="145"/>
    </row>
    <row r="38" spans="1:28" ht="12.75" thickBot="1" x14ac:dyDescent="0.25">
      <c r="A38" s="118"/>
      <c r="B38" s="34"/>
      <c r="C38" s="119">
        <v>37</v>
      </c>
      <c r="D38" s="28">
        <v>328.44959999999998</v>
      </c>
      <c r="E38" s="29">
        <v>35.796441999999999</v>
      </c>
      <c r="F38" s="29">
        <v>39.477668999999999</v>
      </c>
      <c r="G38" s="29">
        <v>38.924812000000003</v>
      </c>
      <c r="H38" s="29">
        <v>3222.123</v>
      </c>
      <c r="I38" s="36"/>
      <c r="J38" s="37">
        <f t="shared" si="6"/>
        <v>0.89503416666666669</v>
      </c>
      <c r="K38" s="151"/>
      <c r="L38" s="25">
        <v>332.69279999999998</v>
      </c>
      <c r="M38" s="26">
        <v>35.766750000000002</v>
      </c>
      <c r="N38" s="26">
        <v>39.421809000000003</v>
      </c>
      <c r="O38" s="26">
        <v>38.890631999999997</v>
      </c>
      <c r="P38" s="26">
        <v>3065.857</v>
      </c>
      <c r="Q38" s="36"/>
      <c r="R38" s="37">
        <f t="shared" si="2"/>
        <v>0.85162694444444442</v>
      </c>
      <c r="S38" s="20"/>
      <c r="T38" s="41"/>
      <c r="U38" s="42"/>
      <c r="V38" s="42"/>
      <c r="W38" s="41"/>
      <c r="X38" s="42"/>
      <c r="Y38" s="43"/>
      <c r="Z38" s="123">
        <f t="shared" si="5"/>
        <v>4.8497838226535757E-2</v>
      </c>
      <c r="AA38" s="128"/>
      <c r="AB38" s="145"/>
    </row>
    <row r="39" spans="1:28" x14ac:dyDescent="0.2">
      <c r="A39" s="118"/>
      <c r="B39" s="13" t="s">
        <v>105</v>
      </c>
      <c r="C39" s="117">
        <v>22</v>
      </c>
      <c r="D39" s="17">
        <v>3623.6352000000002</v>
      </c>
      <c r="E39" s="18">
        <v>43.885019999999997</v>
      </c>
      <c r="F39" s="18">
        <v>44.572904000000001</v>
      </c>
      <c r="G39" s="18">
        <v>44.104236999999998</v>
      </c>
      <c r="H39" s="18">
        <v>5149.6779999999999</v>
      </c>
      <c r="I39" s="15"/>
      <c r="J39" s="16">
        <f t="shared" si="6"/>
        <v>1.430466111111111</v>
      </c>
      <c r="K39" s="151"/>
      <c r="L39" s="14">
        <v>3630.0264000000002</v>
      </c>
      <c r="M39" s="15">
        <v>43.881103000000003</v>
      </c>
      <c r="N39" s="15">
        <v>44.560958999999997</v>
      </c>
      <c r="O39" s="15">
        <v>44.102992999999998</v>
      </c>
      <c r="P39" s="15">
        <v>4869.3450000000003</v>
      </c>
      <c r="Q39" s="15"/>
      <c r="R39" s="16">
        <f t="shared" si="2"/>
        <v>1.3525958333333334</v>
      </c>
      <c r="S39" s="20"/>
      <c r="T39" s="21">
        <f>bdrate($D39:$D42,E39:E42,$L39:$L42,M39:M42)</f>
        <v>1.2434459748515536E-2</v>
      </c>
      <c r="U39" s="22">
        <f>bdrate($D39:$D42,F39:F42,$L39:$L42,N39:N42)</f>
        <v>2.8123243437236933E-2</v>
      </c>
      <c r="V39" s="22">
        <f>bdrate($D39:$D42,G39:G42,$L39:$L42,O39:O42)</f>
        <v>2.3088596809027306E-2</v>
      </c>
      <c r="W39" s="44">
        <f>bdrateOld($D39:$D42,E39:E42,$L39:$L42,M39:M42)</f>
        <v>1.2384831583497125E-2</v>
      </c>
      <c r="X39" s="45">
        <f>bdrateOld($D39:$D42,F39:F42,$L39:$L42,N39:N42)</f>
        <v>2.6521343110411211E-2</v>
      </c>
      <c r="Y39" s="46">
        <f>bdrateOld($D39:$D42,G39:G42,$L39:$L42,O39:O42)</f>
        <v>2.1574031400806826E-2</v>
      </c>
      <c r="Z39" s="122">
        <f t="shared" ref="Z39:Z54" si="7">(H39-P39)/H39</f>
        <v>5.4436995866537601E-2</v>
      </c>
      <c r="AA39" s="140">
        <f>AVERAGE(Z39:Z42)</f>
        <v>5.0415851683937155E-2</v>
      </c>
      <c r="AB39" s="144" t="e">
        <f ca="1">[1]!BJM(D39:E42,L39:M42,0)</f>
        <v>#NAME?</v>
      </c>
    </row>
    <row r="40" spans="1:28" x14ac:dyDescent="0.2">
      <c r="A40" s="118"/>
      <c r="B40" s="24"/>
      <c r="C40" s="118">
        <v>27</v>
      </c>
      <c r="D40" s="28">
        <v>1435.6056000000001</v>
      </c>
      <c r="E40" s="29">
        <v>41.079810999999999</v>
      </c>
      <c r="F40" s="29">
        <v>42.407150000000001</v>
      </c>
      <c r="G40" s="29">
        <v>41.883803999999998</v>
      </c>
      <c r="H40" s="29">
        <v>4200.5410000000002</v>
      </c>
      <c r="I40" s="26"/>
      <c r="J40" s="27">
        <f t="shared" si="6"/>
        <v>1.1668169444444445</v>
      </c>
      <c r="K40" s="151"/>
      <c r="L40" s="25">
        <v>1441.2552000000001</v>
      </c>
      <c r="M40" s="26">
        <v>41.067672999999999</v>
      </c>
      <c r="N40" s="26">
        <v>42.378349</v>
      </c>
      <c r="O40" s="26">
        <v>41.857232000000003</v>
      </c>
      <c r="P40" s="26">
        <v>3976.3220000000001</v>
      </c>
      <c r="Q40" s="26"/>
      <c r="R40" s="27">
        <f t="shared" si="2"/>
        <v>1.1045338888888889</v>
      </c>
      <c r="S40" s="20"/>
      <c r="T40" s="31"/>
      <c r="U40" s="32"/>
      <c r="V40" s="32"/>
      <c r="W40" s="31"/>
      <c r="X40" s="32"/>
      <c r="Y40" s="33"/>
      <c r="Z40" s="122">
        <f t="shared" si="7"/>
        <v>5.337860051836181E-2</v>
      </c>
      <c r="AA40" s="127"/>
      <c r="AB40" s="145"/>
    </row>
    <row r="41" spans="1:28" x14ac:dyDescent="0.2">
      <c r="A41" s="118"/>
      <c r="B41" s="24"/>
      <c r="C41" s="118">
        <v>32</v>
      </c>
      <c r="D41" s="28">
        <v>651.46320000000003</v>
      </c>
      <c r="E41" s="29">
        <v>38.411698000000001</v>
      </c>
      <c r="F41" s="29">
        <v>40.657561000000001</v>
      </c>
      <c r="G41" s="29">
        <v>40.155127</v>
      </c>
      <c r="H41" s="29">
        <v>3604.027</v>
      </c>
      <c r="I41" s="26"/>
      <c r="J41" s="27">
        <f t="shared" si="6"/>
        <v>1.0011186111111112</v>
      </c>
      <c r="K41" s="151"/>
      <c r="L41" s="25">
        <v>658.06320000000005</v>
      </c>
      <c r="M41" s="26">
        <v>38.381995000000003</v>
      </c>
      <c r="N41" s="26">
        <v>40.576175999999997</v>
      </c>
      <c r="O41" s="26">
        <v>40.090665000000001</v>
      </c>
      <c r="P41" s="26">
        <v>3433.2379999999998</v>
      </c>
      <c r="Q41" s="26"/>
      <c r="R41" s="27">
        <f t="shared" si="2"/>
        <v>0.95367722222222218</v>
      </c>
      <c r="S41" s="20"/>
      <c r="T41" s="31"/>
      <c r="U41" s="32"/>
      <c r="V41" s="32"/>
      <c r="W41" s="31"/>
      <c r="X41" s="32"/>
      <c r="Y41" s="33"/>
      <c r="Z41" s="122">
        <f t="shared" si="7"/>
        <v>4.7388379720795716E-2</v>
      </c>
      <c r="AA41" s="127"/>
      <c r="AB41" s="145"/>
    </row>
    <row r="42" spans="1:28" ht="12.75" thickBot="1" x14ac:dyDescent="0.25">
      <c r="A42" s="118"/>
      <c r="B42" s="34"/>
      <c r="C42" s="119">
        <v>37</v>
      </c>
      <c r="D42" s="28">
        <v>328.44959999999998</v>
      </c>
      <c r="E42" s="29">
        <v>35.796441999999999</v>
      </c>
      <c r="F42" s="29">
        <v>39.477668999999999</v>
      </c>
      <c r="G42" s="29">
        <v>38.924812000000003</v>
      </c>
      <c r="H42" s="29">
        <v>3222.123</v>
      </c>
      <c r="I42" s="36"/>
      <c r="J42" s="37">
        <f t="shared" si="6"/>
        <v>0.89503416666666669</v>
      </c>
      <c r="K42" s="151"/>
      <c r="L42" s="25">
        <v>332.99759999999998</v>
      </c>
      <c r="M42" s="26">
        <v>35.773316999999999</v>
      </c>
      <c r="N42" s="26">
        <v>39.415728999999999</v>
      </c>
      <c r="O42" s="26">
        <v>38.883226999999998</v>
      </c>
      <c r="P42" s="26">
        <v>3072.4250000000002</v>
      </c>
      <c r="Q42" s="36"/>
      <c r="R42" s="37">
        <f t="shared" si="2"/>
        <v>0.85345138888888894</v>
      </c>
      <c r="S42" s="20"/>
      <c r="T42" s="41"/>
      <c r="U42" s="42"/>
      <c r="V42" s="42"/>
      <c r="W42" s="41"/>
      <c r="X42" s="42"/>
      <c r="Y42" s="43"/>
      <c r="Z42" s="123">
        <f t="shared" si="7"/>
        <v>4.6459430630053498E-2</v>
      </c>
      <c r="AA42" s="128"/>
      <c r="AB42" s="145"/>
    </row>
    <row r="43" spans="1:28" x14ac:dyDescent="0.2">
      <c r="A43" s="118"/>
      <c r="B43" s="13" t="s">
        <v>106</v>
      </c>
      <c r="C43" s="117">
        <v>22</v>
      </c>
      <c r="D43" s="17">
        <v>3623.6352000000002</v>
      </c>
      <c r="E43" s="18">
        <v>43.885019999999997</v>
      </c>
      <c r="F43" s="18">
        <v>44.572904000000001</v>
      </c>
      <c r="G43" s="18">
        <v>44.104236999999998</v>
      </c>
      <c r="H43" s="18">
        <v>5149.6779999999999</v>
      </c>
      <c r="I43" s="15"/>
      <c r="J43" s="16">
        <f t="shared" si="6"/>
        <v>1.430466111111111</v>
      </c>
      <c r="K43" s="151"/>
      <c r="L43" s="14">
        <v>3635.2847999999999</v>
      </c>
      <c r="M43" s="15">
        <v>43.882007000000002</v>
      </c>
      <c r="N43" s="15">
        <v>44.557428999999999</v>
      </c>
      <c r="O43" s="15">
        <v>44.090862000000001</v>
      </c>
      <c r="P43" s="15">
        <v>4898.8459999999995</v>
      </c>
      <c r="Q43" s="15"/>
      <c r="R43" s="16">
        <f t="shared" si="2"/>
        <v>1.3607905555555555</v>
      </c>
      <c r="S43" s="20"/>
      <c r="T43" s="21">
        <f>bdrate($D43:$D46,E43:E46,$L43:$L46,M43:M46)</f>
        <v>1.1587874571913348E-2</v>
      </c>
      <c r="U43" s="22">
        <f>bdrate($D43:$D46,F43:F46,$L43:$L46,N43:N46)</f>
        <v>2.6690634602226204E-2</v>
      </c>
      <c r="V43" s="22">
        <f>bdrate($D43:$D46,G43:G46,$L43:$L46,O43:O46)</f>
        <v>2.0867018338381893E-2</v>
      </c>
      <c r="W43" s="44">
        <f>bdrateOld($D43:$D46,E43:E46,$L43:$L46,M43:M46)</f>
        <v>1.1496889540933752E-2</v>
      </c>
      <c r="X43" s="45">
        <f>bdrateOld($D43:$D46,F43:F46,$L43:$L46,N43:N46)</f>
        <v>2.4028457402737624E-2</v>
      </c>
      <c r="Y43" s="46">
        <f>bdrateOld($D43:$D46,G43:G46,$L43:$L46,O43:O46)</f>
        <v>1.9733357491714454E-2</v>
      </c>
      <c r="Z43" s="122">
        <f t="shared" si="7"/>
        <v>4.8708288168697218E-2</v>
      </c>
      <c r="AA43" s="140">
        <f>AVERAGE(Z43:Z46)</f>
        <v>4.7006579942085389E-2</v>
      </c>
      <c r="AB43" s="144" t="e">
        <f ca="1">[1]!BJM(D43:E46,L43:M46,0)</f>
        <v>#NAME?</v>
      </c>
    </row>
    <row r="44" spans="1:28" x14ac:dyDescent="0.2">
      <c r="A44" s="118"/>
      <c r="B44" s="118"/>
      <c r="C44" s="118">
        <v>27</v>
      </c>
      <c r="D44" s="28">
        <v>1435.6056000000001</v>
      </c>
      <c r="E44" s="29">
        <v>41.079810999999999</v>
      </c>
      <c r="F44" s="29">
        <v>42.407150000000001</v>
      </c>
      <c r="G44" s="29">
        <v>41.883803999999998</v>
      </c>
      <c r="H44" s="29">
        <v>4200.5410000000002</v>
      </c>
      <c r="I44" s="26"/>
      <c r="J44" s="27">
        <f t="shared" si="6"/>
        <v>1.1668169444444445</v>
      </c>
      <c r="K44" s="151"/>
      <c r="L44" s="25">
        <v>1439.5992000000001</v>
      </c>
      <c r="M44" s="26">
        <v>41.074854999999999</v>
      </c>
      <c r="N44" s="26">
        <v>42.388167000000003</v>
      </c>
      <c r="O44" s="26">
        <v>41.860467</v>
      </c>
      <c r="P44" s="26">
        <v>3985.6350000000002</v>
      </c>
      <c r="Q44" s="26"/>
      <c r="R44" s="27">
        <f t="shared" si="2"/>
        <v>1.1071208333333333</v>
      </c>
      <c r="S44" s="20"/>
      <c r="T44" s="31"/>
      <c r="U44" s="32"/>
      <c r="V44" s="32"/>
      <c r="W44" s="31"/>
      <c r="X44" s="32"/>
      <c r="Y44" s="33"/>
      <c r="Z44" s="122">
        <f t="shared" si="7"/>
        <v>5.1161505148979602E-2</v>
      </c>
      <c r="AA44" s="127"/>
      <c r="AB44" s="145"/>
    </row>
    <row r="45" spans="1:28" x14ac:dyDescent="0.2">
      <c r="A45" s="118"/>
      <c r="B45" s="118"/>
      <c r="C45" s="118">
        <v>32</v>
      </c>
      <c r="D45" s="28">
        <v>651.46320000000003</v>
      </c>
      <c r="E45" s="29">
        <v>38.411698000000001</v>
      </c>
      <c r="F45" s="29">
        <v>40.657561000000001</v>
      </c>
      <c r="G45" s="29">
        <v>40.155127</v>
      </c>
      <c r="H45" s="29">
        <v>3604.027</v>
      </c>
      <c r="I45" s="26"/>
      <c r="J45" s="27">
        <f t="shared" si="6"/>
        <v>1.0011186111111112</v>
      </c>
      <c r="K45" s="151"/>
      <c r="L45" s="25">
        <v>658.42560000000003</v>
      </c>
      <c r="M45" s="26">
        <v>38.380698000000002</v>
      </c>
      <c r="N45" s="26">
        <v>40.567672999999999</v>
      </c>
      <c r="O45" s="26">
        <v>40.105137999999997</v>
      </c>
      <c r="P45" s="26">
        <v>3443.1750000000002</v>
      </c>
      <c r="Q45" s="26"/>
      <c r="R45" s="27">
        <f t="shared" si="2"/>
        <v>0.95643750000000005</v>
      </c>
      <c r="S45" s="20"/>
      <c r="T45" s="31"/>
      <c r="U45" s="32"/>
      <c r="V45" s="32"/>
      <c r="W45" s="31"/>
      <c r="X45" s="32"/>
      <c r="Y45" s="33"/>
      <c r="Z45" s="122">
        <f t="shared" si="7"/>
        <v>4.4631186170358841E-2</v>
      </c>
      <c r="AA45" s="127"/>
      <c r="AB45" s="145"/>
    </row>
    <row r="46" spans="1:28" ht="12.75" thickBot="1" x14ac:dyDescent="0.25">
      <c r="A46" s="118"/>
      <c r="B46" s="119"/>
      <c r="C46" s="119">
        <v>37</v>
      </c>
      <c r="D46" s="28">
        <v>328.44959999999998</v>
      </c>
      <c r="E46" s="29">
        <v>35.796441999999999</v>
      </c>
      <c r="F46" s="29">
        <v>39.477668999999999</v>
      </c>
      <c r="G46" s="29">
        <v>38.924812000000003</v>
      </c>
      <c r="H46" s="29">
        <v>3222.123</v>
      </c>
      <c r="I46" s="36"/>
      <c r="J46" s="37">
        <f t="shared" si="6"/>
        <v>0.89503416666666669</v>
      </c>
      <c r="K46" s="151"/>
      <c r="L46" s="25">
        <v>332.82479999999998</v>
      </c>
      <c r="M46" s="26">
        <v>35.771486000000003</v>
      </c>
      <c r="N46" s="26">
        <v>39.432609999999997</v>
      </c>
      <c r="O46" s="26">
        <v>38.885376000000001</v>
      </c>
      <c r="P46" s="26">
        <v>3081.8789999999999</v>
      </c>
      <c r="Q46" s="36"/>
      <c r="R46" s="37">
        <f t="shared" si="2"/>
        <v>0.85607749999999994</v>
      </c>
      <c r="S46" s="20"/>
      <c r="T46" s="41"/>
      <c r="U46" s="42"/>
      <c r="V46" s="42"/>
      <c r="W46" s="41"/>
      <c r="X46" s="42"/>
      <c r="Y46" s="43"/>
      <c r="Z46" s="123">
        <f t="shared" si="7"/>
        <v>4.3525340280305913E-2</v>
      </c>
      <c r="AA46" s="128"/>
      <c r="AB46" s="145"/>
    </row>
    <row r="47" spans="1:28" x14ac:dyDescent="0.2">
      <c r="A47" s="24"/>
      <c r="B47" s="13"/>
      <c r="C47" s="13">
        <v>22</v>
      </c>
      <c r="D47" s="17"/>
      <c r="E47" s="18"/>
      <c r="F47" s="18"/>
      <c r="G47" s="18"/>
      <c r="H47" s="18"/>
      <c r="I47" s="15"/>
      <c r="J47" s="16">
        <f t="shared" si="1"/>
        <v>0</v>
      </c>
      <c r="K47" s="151"/>
      <c r="L47" s="14"/>
      <c r="M47" s="15"/>
      <c r="N47" s="15"/>
      <c r="O47" s="15"/>
      <c r="P47" s="15"/>
      <c r="Q47" s="15"/>
      <c r="R47" s="16">
        <f t="shared" si="2"/>
        <v>0</v>
      </c>
      <c r="S47" s="20"/>
      <c r="T47" s="21" t="e">
        <f>bdrate($D47:$D50,E47:E50,$L47:$L50,M47:M50)</f>
        <v>#VALUE!</v>
      </c>
      <c r="U47" s="22" t="e">
        <f>bdrate($D47:$D50,F47:F50,$L47:$L50,N47:N50)</f>
        <v>#VALUE!</v>
      </c>
      <c r="V47" s="22" t="e">
        <f>bdrate($D47:$D50,G47:G50,$L47:$L50,O47:O50)</f>
        <v>#VALUE!</v>
      </c>
      <c r="W47" s="44" t="e">
        <f>bdrateOld($D47:$D50,E47:E50,$L47:$L50,M47:M50)</f>
        <v>#VALUE!</v>
      </c>
      <c r="X47" s="45" t="e">
        <f>bdrateOld($D47:$D50,F47:F50,$L47:$L50,N47:N50)</f>
        <v>#VALUE!</v>
      </c>
      <c r="Y47" s="46" t="e">
        <f>bdrateOld($D47:$D50,G47:G50,$L47:$L50,O47:O50)</f>
        <v>#VALUE!</v>
      </c>
      <c r="Z47" s="122" t="e">
        <f t="shared" si="7"/>
        <v>#DIV/0!</v>
      </c>
      <c r="AA47" s="140" t="e">
        <f>AVERAGE(Z47:Z50)</f>
        <v>#DIV/0!</v>
      </c>
      <c r="AB47" s="144" t="e">
        <f ca="1">[1]!BJM(D47:E50,L47:M50,0)</f>
        <v>#NAME?</v>
      </c>
    </row>
    <row r="48" spans="1:28" x14ac:dyDescent="0.2">
      <c r="A48" s="24"/>
      <c r="B48" s="118"/>
      <c r="C48" s="118">
        <v>27</v>
      </c>
      <c r="D48" s="28"/>
      <c r="E48" s="29"/>
      <c r="F48" s="29"/>
      <c r="G48" s="29"/>
      <c r="H48" s="29"/>
      <c r="I48" s="26"/>
      <c r="J48" s="27">
        <f t="shared" si="1"/>
        <v>0</v>
      </c>
      <c r="K48" s="151"/>
      <c r="L48" s="25"/>
      <c r="M48" s="26"/>
      <c r="N48" s="26"/>
      <c r="O48" s="26"/>
      <c r="P48" s="26"/>
      <c r="Q48" s="26"/>
      <c r="R48" s="27">
        <f t="shared" si="2"/>
        <v>0</v>
      </c>
      <c r="S48" s="20"/>
      <c r="T48" s="31"/>
      <c r="U48" s="32"/>
      <c r="V48" s="32"/>
      <c r="W48" s="31"/>
      <c r="X48" s="32"/>
      <c r="Y48" s="33"/>
      <c r="Z48" s="122" t="e">
        <f t="shared" si="7"/>
        <v>#DIV/0!</v>
      </c>
      <c r="AA48" s="127"/>
      <c r="AB48" s="145"/>
    </row>
    <row r="49" spans="1:28" x14ac:dyDescent="0.2">
      <c r="A49" s="118"/>
      <c r="B49" s="118"/>
      <c r="C49" s="118">
        <v>32</v>
      </c>
      <c r="D49" s="28"/>
      <c r="E49" s="29"/>
      <c r="F49" s="29"/>
      <c r="G49" s="29"/>
      <c r="H49" s="29"/>
      <c r="I49" s="26"/>
      <c r="J49" s="27">
        <f t="shared" si="1"/>
        <v>0</v>
      </c>
      <c r="K49" s="151"/>
      <c r="L49" s="25"/>
      <c r="M49" s="26"/>
      <c r="N49" s="26"/>
      <c r="O49" s="26"/>
      <c r="P49" s="26"/>
      <c r="Q49" s="26"/>
      <c r="R49" s="27">
        <f t="shared" si="2"/>
        <v>0</v>
      </c>
      <c r="S49" s="20"/>
      <c r="T49" s="31"/>
      <c r="U49" s="32"/>
      <c r="V49" s="32"/>
      <c r="W49" s="31"/>
      <c r="X49" s="32"/>
      <c r="Y49" s="33"/>
      <c r="Z49" s="122" t="e">
        <f t="shared" si="7"/>
        <v>#DIV/0!</v>
      </c>
      <c r="AA49" s="33"/>
      <c r="AB49" s="145"/>
    </row>
    <row r="50" spans="1:28" ht="12.75" thickBot="1" x14ac:dyDescent="0.25">
      <c r="A50" s="118"/>
      <c r="B50" s="119"/>
      <c r="C50" s="119">
        <v>37</v>
      </c>
      <c r="D50" s="28"/>
      <c r="E50" s="29"/>
      <c r="F50" s="29"/>
      <c r="G50" s="29"/>
      <c r="H50" s="29"/>
      <c r="I50" s="36"/>
      <c r="J50" s="37">
        <f t="shared" si="1"/>
        <v>0</v>
      </c>
      <c r="K50" s="151"/>
      <c r="L50" s="25"/>
      <c r="M50" s="26"/>
      <c r="N50" s="26"/>
      <c r="O50" s="26"/>
      <c r="P50" s="26"/>
      <c r="Q50" s="36"/>
      <c r="R50" s="37">
        <f t="shared" si="2"/>
        <v>0</v>
      </c>
      <c r="S50" s="20"/>
      <c r="T50" s="41"/>
      <c r="U50" s="42"/>
      <c r="V50" s="42"/>
      <c r="W50" s="41"/>
      <c r="X50" s="42"/>
      <c r="Y50" s="43"/>
      <c r="Z50" s="123" t="e">
        <f t="shared" si="7"/>
        <v>#DIV/0!</v>
      </c>
      <c r="AA50" s="43"/>
      <c r="AB50" s="145"/>
    </row>
    <row r="51" spans="1:28" x14ac:dyDescent="0.2">
      <c r="A51" s="117" t="s">
        <v>108</v>
      </c>
      <c r="B51" s="13" t="s">
        <v>104</v>
      </c>
      <c r="C51" s="117">
        <v>22</v>
      </c>
      <c r="D51" s="17">
        <v>3623.6352000000002</v>
      </c>
      <c r="E51" s="18">
        <v>43.885019999999997</v>
      </c>
      <c r="F51" s="18">
        <v>44.572904000000001</v>
      </c>
      <c r="G51" s="18">
        <v>44.104236999999998</v>
      </c>
      <c r="H51" s="18">
        <v>5149.6779999999999</v>
      </c>
      <c r="I51" s="15"/>
      <c r="J51" s="16">
        <f t="shared" si="1"/>
        <v>1.430466111111111</v>
      </c>
      <c r="K51" s="151"/>
      <c r="L51" s="14">
        <v>3623.6352000000002</v>
      </c>
      <c r="M51" s="15">
        <v>43.885019999999997</v>
      </c>
      <c r="N51" s="15">
        <v>44.572904000000001</v>
      </c>
      <c r="O51" s="15">
        <v>44.104236999999998</v>
      </c>
      <c r="P51" s="15">
        <v>5179.9260000000004</v>
      </c>
      <c r="Q51" s="15"/>
      <c r="R51" s="16">
        <f t="shared" si="2"/>
        <v>1.4388683333333334</v>
      </c>
      <c r="S51" s="20"/>
      <c r="T51" s="21">
        <f>bdrate($D51:$D54,E51:E54,$L51:$L54,M51:M54)</f>
        <v>0</v>
      </c>
      <c r="U51" s="22">
        <f>bdrate($D51:$D54,F51:F54,$L51:$L54,N51:N54)</f>
        <v>0</v>
      </c>
      <c r="V51" s="22">
        <f>bdrate($D51:$D54,G51:G54,$L51:$L54,O51:O54)</f>
        <v>0</v>
      </c>
      <c r="W51" s="44">
        <f>bdrateOld($D51:$D54,E51:E54,$L51:$L54,M51:M54)</f>
        <v>0</v>
      </c>
      <c r="X51" s="45">
        <f>bdrateOld($D51:$D54,F51:F54,$L51:$L54,N51:N54)</f>
        <v>0</v>
      </c>
      <c r="Y51" s="46">
        <f>bdrateOld($D51:$D54,G51:G54,$L51:$L54,O51:O54)</f>
        <v>0</v>
      </c>
      <c r="Z51" s="122">
        <f t="shared" si="7"/>
        <v>-5.873765311151591E-3</v>
      </c>
      <c r="AA51" s="140">
        <f>AVERAGE(Z51:Z54)</f>
        <v>-7.757196981474512E-3</v>
      </c>
      <c r="AB51" s="144" t="e">
        <f ca="1">[1]!BJM(D51:E54,L51:M54,0)</f>
        <v>#NAME?</v>
      </c>
    </row>
    <row r="52" spans="1:28" x14ac:dyDescent="0.2">
      <c r="A52" s="118"/>
      <c r="B52" s="24"/>
      <c r="C52" s="118">
        <v>27</v>
      </c>
      <c r="D52" s="28">
        <v>1435.6056000000001</v>
      </c>
      <c r="E52" s="29">
        <v>41.079810999999999</v>
      </c>
      <c r="F52" s="29">
        <v>42.407150000000001</v>
      </c>
      <c r="G52" s="29">
        <v>41.883803999999998</v>
      </c>
      <c r="H52" s="29">
        <v>4200.5410000000002</v>
      </c>
      <c r="I52" s="26"/>
      <c r="J52" s="27">
        <f t="shared" si="1"/>
        <v>1.1668169444444445</v>
      </c>
      <c r="K52" s="151"/>
      <c r="L52" s="25">
        <v>1435.6056000000001</v>
      </c>
      <c r="M52" s="26">
        <v>41.079810999999999</v>
      </c>
      <c r="N52" s="26">
        <v>42.407150000000001</v>
      </c>
      <c r="O52" s="26">
        <v>41.883803999999998</v>
      </c>
      <c r="P52" s="26">
        <v>4233.6440000000002</v>
      </c>
      <c r="Q52" s="26"/>
      <c r="R52" s="27">
        <f t="shared" si="2"/>
        <v>1.1760122222222222</v>
      </c>
      <c r="S52" s="20"/>
      <c r="T52" s="31"/>
      <c r="U52" s="32"/>
      <c r="V52" s="32"/>
      <c r="W52" s="31"/>
      <c r="X52" s="32"/>
      <c r="Y52" s="33"/>
      <c r="Z52" s="122">
        <f t="shared" si="7"/>
        <v>-7.8806515636914536E-3</v>
      </c>
      <c r="AA52" s="33"/>
      <c r="AB52" s="145"/>
    </row>
    <row r="53" spans="1:28" x14ac:dyDescent="0.2">
      <c r="A53" s="118"/>
      <c r="B53" s="24"/>
      <c r="C53" s="118">
        <v>32</v>
      </c>
      <c r="D53" s="28">
        <v>651.46320000000003</v>
      </c>
      <c r="E53" s="29">
        <v>38.411698000000001</v>
      </c>
      <c r="F53" s="29">
        <v>40.657561000000001</v>
      </c>
      <c r="G53" s="29">
        <v>40.155127</v>
      </c>
      <c r="H53" s="29">
        <v>3604.027</v>
      </c>
      <c r="I53" s="26"/>
      <c r="J53" s="27">
        <f t="shared" si="1"/>
        <v>1.0011186111111112</v>
      </c>
      <c r="K53" s="151"/>
      <c r="L53" s="25">
        <v>651.46320000000003</v>
      </c>
      <c r="M53" s="26">
        <v>38.411698000000001</v>
      </c>
      <c r="N53" s="26">
        <v>40.657561000000001</v>
      </c>
      <c r="O53" s="26">
        <v>40.155127</v>
      </c>
      <c r="P53" s="26">
        <v>3634.0729999999999</v>
      </c>
      <c r="Q53" s="26"/>
      <c r="R53" s="27">
        <f t="shared" si="2"/>
        <v>1.0094647222222222</v>
      </c>
      <c r="S53" s="20"/>
      <c r="T53" s="31"/>
      <c r="U53" s="32"/>
      <c r="V53" s="32"/>
      <c r="W53" s="31"/>
      <c r="X53" s="32"/>
      <c r="Y53" s="33"/>
      <c r="Z53" s="122">
        <f t="shared" si="7"/>
        <v>-8.336785490230739E-3</v>
      </c>
      <c r="AA53" s="33"/>
      <c r="AB53" s="145"/>
    </row>
    <row r="54" spans="1:28" ht="12.75" thickBot="1" x14ac:dyDescent="0.25">
      <c r="A54" s="118"/>
      <c r="B54" s="34"/>
      <c r="C54" s="119">
        <v>37</v>
      </c>
      <c r="D54" s="28">
        <v>328.44959999999998</v>
      </c>
      <c r="E54" s="29">
        <v>35.796441999999999</v>
      </c>
      <c r="F54" s="29">
        <v>39.477668999999999</v>
      </c>
      <c r="G54" s="29">
        <v>38.924812000000003</v>
      </c>
      <c r="H54" s="29">
        <v>3222.123</v>
      </c>
      <c r="I54" s="36"/>
      <c r="J54" s="37">
        <f t="shared" si="1"/>
        <v>0.89503416666666669</v>
      </c>
      <c r="K54" s="151"/>
      <c r="L54" s="25">
        <v>328.44959999999998</v>
      </c>
      <c r="M54" s="26">
        <v>35.796441999999999</v>
      </c>
      <c r="N54" s="26">
        <v>39.477668999999999</v>
      </c>
      <c r="O54" s="26">
        <v>38.924812000000003</v>
      </c>
      <c r="P54" s="26">
        <v>3250.9209999999998</v>
      </c>
      <c r="Q54" s="36"/>
      <c r="R54" s="37">
        <f t="shared" si="2"/>
        <v>0.90303361111111102</v>
      </c>
      <c r="S54" s="20"/>
      <c r="T54" s="41"/>
      <c r="U54" s="42"/>
      <c r="V54" s="42"/>
      <c r="W54" s="41"/>
      <c r="X54" s="42"/>
      <c r="Y54" s="43"/>
      <c r="Z54" s="123">
        <f t="shared" si="7"/>
        <v>-8.9375855608242686E-3</v>
      </c>
      <c r="AA54" s="43"/>
      <c r="AB54" s="145"/>
    </row>
    <row r="55" spans="1:28" x14ac:dyDescent="0.2">
      <c r="A55" s="118"/>
      <c r="B55" s="13" t="s">
        <v>105</v>
      </c>
      <c r="C55" s="117">
        <v>22</v>
      </c>
      <c r="D55" s="17">
        <v>3623.6352000000002</v>
      </c>
      <c r="E55" s="18">
        <v>43.885019999999997</v>
      </c>
      <c r="F55" s="18">
        <v>44.572904000000001</v>
      </c>
      <c r="G55" s="18">
        <v>44.104236999999998</v>
      </c>
      <c r="H55" s="18">
        <v>5149.6779999999999</v>
      </c>
      <c r="I55" s="15"/>
      <c r="J55" s="16">
        <f t="shared" si="1"/>
        <v>1.430466111111111</v>
      </c>
      <c r="K55" s="151"/>
      <c r="L55" s="14">
        <v>3633.7224000000001</v>
      </c>
      <c r="M55" s="15">
        <v>43.839737</v>
      </c>
      <c r="N55" s="15">
        <v>44.555784000000003</v>
      </c>
      <c r="O55" s="15">
        <v>44.084029000000001</v>
      </c>
      <c r="P55" s="15">
        <v>4432.2479999999996</v>
      </c>
      <c r="Q55" s="15"/>
      <c r="R55" s="16">
        <f t="shared" si="2"/>
        <v>1.2311799999999999</v>
      </c>
      <c r="S55" s="20"/>
      <c r="T55" s="21">
        <f>bdrate($D55:$D58,E55:E58,$L55:$L58,M55:M58)</f>
        <v>9.30750385722523E-3</v>
      </c>
      <c r="U55" s="22">
        <f>bdrate($D55:$D58,F55:F58,$L55:$L58,N55:N58)</f>
        <v>9.9210198982855324E-3</v>
      </c>
      <c r="V55" s="22">
        <f>bdrate($D55:$D58,G55:G58,$L55:$L58,O55:O58)</f>
        <v>7.6645164134170329E-3</v>
      </c>
      <c r="W55" s="44">
        <f>bdrateOld($D55:$D58,E55:E58,$L55:$L58,M55:M58)</f>
        <v>9.3095107221008444E-3</v>
      </c>
      <c r="X55" s="45">
        <f>bdrateOld($D55:$D58,F55:F58,$L55:$L58,N55:N58)</f>
        <v>1.0525013149737639E-2</v>
      </c>
      <c r="Y55" s="46">
        <f>bdrateOld($D55:$D58,G55:G58,$L55:$L58,O55:O58)</f>
        <v>9.4808285872263198E-3</v>
      </c>
      <c r="Z55" s="122">
        <f t="shared" ref="Z55:Z62" si="8">(H55-P55)/H55</f>
        <v>0.13931550671711906</v>
      </c>
      <c r="AA55" s="140">
        <f>AVERAGE(Z55:Z58)</f>
        <v>0.15657211292327769</v>
      </c>
      <c r="AB55" s="144" t="e">
        <f ca="1">[1]!BJM(D55:E58,L55:M58,0)</f>
        <v>#NAME?</v>
      </c>
    </row>
    <row r="56" spans="1:28" x14ac:dyDescent="0.2">
      <c r="A56" s="118"/>
      <c r="B56" s="24"/>
      <c r="C56" s="118">
        <v>27</v>
      </c>
      <c r="D56" s="28">
        <v>1435.6056000000001</v>
      </c>
      <c r="E56" s="29">
        <v>41.079810999999999</v>
      </c>
      <c r="F56" s="29">
        <v>42.407150000000001</v>
      </c>
      <c r="G56" s="29">
        <v>41.883803999999998</v>
      </c>
      <c r="H56" s="29">
        <v>4200.5410000000002</v>
      </c>
      <c r="I56" s="26"/>
      <c r="J56" s="27">
        <f t="shared" si="1"/>
        <v>1.1668169444444445</v>
      </c>
      <c r="K56" s="151"/>
      <c r="L56" s="25">
        <v>1440.6335999999999</v>
      </c>
      <c r="M56" s="26">
        <v>41.057347</v>
      </c>
      <c r="N56" s="26">
        <v>42.391278</v>
      </c>
      <c r="O56" s="26">
        <v>41.870055999999998</v>
      </c>
      <c r="P56" s="26">
        <v>3583.7629999999999</v>
      </c>
      <c r="Q56" s="26"/>
      <c r="R56" s="27">
        <f t="shared" si="2"/>
        <v>0.99548972222222221</v>
      </c>
      <c r="S56" s="20"/>
      <c r="T56" s="31"/>
      <c r="U56" s="32"/>
      <c r="V56" s="32"/>
      <c r="W56" s="31"/>
      <c r="X56" s="32"/>
      <c r="Y56" s="33"/>
      <c r="Z56" s="122">
        <f t="shared" si="8"/>
        <v>0.14683299127421925</v>
      </c>
      <c r="AA56" s="33"/>
      <c r="AB56" s="145"/>
    </row>
    <row r="57" spans="1:28" x14ac:dyDescent="0.2">
      <c r="A57" s="118"/>
      <c r="B57" s="24"/>
      <c r="C57" s="118">
        <v>32</v>
      </c>
      <c r="D57" s="28">
        <v>651.46320000000003</v>
      </c>
      <c r="E57" s="29">
        <v>38.411698000000001</v>
      </c>
      <c r="F57" s="29">
        <v>40.657561000000001</v>
      </c>
      <c r="G57" s="29">
        <v>40.155127</v>
      </c>
      <c r="H57" s="29">
        <v>3604.027</v>
      </c>
      <c r="I57" s="26"/>
      <c r="J57" s="27">
        <f t="shared" si="1"/>
        <v>1.0011186111111112</v>
      </c>
      <c r="K57" s="151"/>
      <c r="L57" s="25">
        <v>650.6952</v>
      </c>
      <c r="M57" s="26">
        <v>38.385927000000002</v>
      </c>
      <c r="N57" s="26">
        <v>40.642051000000002</v>
      </c>
      <c r="O57" s="26">
        <v>40.158484000000001</v>
      </c>
      <c r="P57" s="26">
        <v>3005.672</v>
      </c>
      <c r="Q57" s="26"/>
      <c r="R57" s="27">
        <f t="shared" si="2"/>
        <v>0.83490888888888892</v>
      </c>
      <c r="S57" s="20"/>
      <c r="T57" s="31"/>
      <c r="U57" s="32"/>
      <c r="V57" s="32"/>
      <c r="W57" s="31"/>
      <c r="X57" s="32"/>
      <c r="Y57" s="33"/>
      <c r="Z57" s="122">
        <f t="shared" si="8"/>
        <v>0.16602400592448391</v>
      </c>
      <c r="AA57" s="33"/>
      <c r="AB57" s="145"/>
    </row>
    <row r="58" spans="1:28" ht="12.75" thickBot="1" x14ac:dyDescent="0.25">
      <c r="A58" s="118"/>
      <c r="B58" s="34"/>
      <c r="C58" s="119">
        <v>37</v>
      </c>
      <c r="D58" s="28">
        <v>328.44959999999998</v>
      </c>
      <c r="E58" s="29">
        <v>35.796441999999999</v>
      </c>
      <c r="F58" s="29">
        <v>39.477668999999999</v>
      </c>
      <c r="G58" s="29">
        <v>38.924812000000003</v>
      </c>
      <c r="H58" s="29">
        <v>3222.123</v>
      </c>
      <c r="I58" s="36"/>
      <c r="J58" s="37">
        <f t="shared" si="1"/>
        <v>0.89503416666666669</v>
      </c>
      <c r="K58" s="151"/>
      <c r="L58" s="25">
        <v>329.54399999999998</v>
      </c>
      <c r="M58" s="26">
        <v>35.789329000000002</v>
      </c>
      <c r="N58" s="26">
        <v>39.454472000000003</v>
      </c>
      <c r="O58" s="26">
        <v>38.882744000000002</v>
      </c>
      <c r="P58" s="26">
        <v>2661.1</v>
      </c>
      <c r="Q58" s="36"/>
      <c r="R58" s="37">
        <f t="shared" si="2"/>
        <v>0.73919444444444438</v>
      </c>
      <c r="S58" s="20"/>
      <c r="T58" s="41"/>
      <c r="U58" s="42"/>
      <c r="V58" s="42"/>
      <c r="W58" s="41"/>
      <c r="X58" s="42"/>
      <c r="Y58" s="43"/>
      <c r="Z58" s="123">
        <f t="shared" si="8"/>
        <v>0.1741159477772885</v>
      </c>
      <c r="AA58" s="43"/>
      <c r="AB58" s="145"/>
    </row>
    <row r="59" spans="1:28" x14ac:dyDescent="0.2">
      <c r="A59" s="118"/>
      <c r="B59" s="13" t="s">
        <v>106</v>
      </c>
      <c r="C59" s="117">
        <v>22</v>
      </c>
      <c r="D59" s="17">
        <v>3623.6352000000002</v>
      </c>
      <c r="E59" s="18">
        <v>43.885019999999997</v>
      </c>
      <c r="F59" s="18">
        <v>44.572904000000001</v>
      </c>
      <c r="G59" s="18">
        <v>44.104236999999998</v>
      </c>
      <c r="H59" s="18">
        <v>5149.6779999999999</v>
      </c>
      <c r="I59" s="15"/>
      <c r="J59" s="16">
        <f t="shared" si="1"/>
        <v>1.430466111111111</v>
      </c>
      <c r="K59" s="151"/>
      <c r="L59" s="14">
        <v>3854.7887999999998</v>
      </c>
      <c r="M59" s="15">
        <v>43.664737000000002</v>
      </c>
      <c r="N59" s="15">
        <v>44.442495000000001</v>
      </c>
      <c r="O59" s="15">
        <v>43.963141999999998</v>
      </c>
      <c r="P59" s="15">
        <v>3841.7559999999999</v>
      </c>
      <c r="Q59" s="15"/>
      <c r="R59" s="16">
        <f t="shared" si="2"/>
        <v>1.0671544444444443</v>
      </c>
      <c r="S59" s="20"/>
      <c r="T59" s="21">
        <f>bdrate($D59:$D62,E59:E62,$L59:$L62,M59:M62)</f>
        <v>0.10397875178336791</v>
      </c>
      <c r="U59" s="22">
        <f>bdrate($D59:$D62,F59:F62,$L59:$L62,N59:N62)</f>
        <v>8.124789285651457E-2</v>
      </c>
      <c r="V59" s="22">
        <f>bdrate($D59:$D62,G59:G62,$L59:$L62,O59:O62)</f>
        <v>8.6539458169824002E-2</v>
      </c>
      <c r="W59" s="44">
        <f>bdrateOld($D59:$D62,E59:E62,$L59:$L62,M59:M62)</f>
        <v>0.10394939506729495</v>
      </c>
      <c r="X59" s="45">
        <f>bdrateOld($D59:$D62,F59:F62,$L59:$L62,N59:N62)</f>
        <v>8.1120027692364705E-2</v>
      </c>
      <c r="Y59" s="46">
        <f>bdrateOld($D59:$D62,G59:G62,$L59:$L62,O59:O62)</f>
        <v>8.7759877379620654E-2</v>
      </c>
      <c r="Z59" s="122">
        <f t="shared" si="8"/>
        <v>0.25398131689010461</v>
      </c>
      <c r="AA59" s="140">
        <f>AVERAGE(Z59:Z62)</f>
        <v>0.27497724219214298</v>
      </c>
      <c r="AB59" s="144" t="e">
        <f ca="1">[1]!BJM(D59:E62,L59:M62,0)</f>
        <v>#NAME?</v>
      </c>
    </row>
    <row r="60" spans="1:28" x14ac:dyDescent="0.2">
      <c r="A60" s="118"/>
      <c r="B60" s="118"/>
      <c r="C60" s="118">
        <v>27</v>
      </c>
      <c r="D60" s="28">
        <v>1435.6056000000001</v>
      </c>
      <c r="E60" s="29">
        <v>41.079810999999999</v>
      </c>
      <c r="F60" s="29">
        <v>42.407150000000001</v>
      </c>
      <c r="G60" s="29">
        <v>41.883803999999998</v>
      </c>
      <c r="H60" s="29">
        <v>4200.5410000000002</v>
      </c>
      <c r="I60" s="26"/>
      <c r="J60" s="27">
        <f t="shared" si="1"/>
        <v>1.1668169444444445</v>
      </c>
      <c r="K60" s="151"/>
      <c r="L60" s="25">
        <v>1508.028</v>
      </c>
      <c r="M60" s="26">
        <v>40.866790000000002</v>
      </c>
      <c r="N60" s="26">
        <v>42.336120999999999</v>
      </c>
      <c r="O60" s="26">
        <v>41.786023</v>
      </c>
      <c r="P60" s="26">
        <v>3079.6480000000001</v>
      </c>
      <c r="Q60" s="26"/>
      <c r="R60" s="27">
        <f t="shared" si="2"/>
        <v>0.85545777777777776</v>
      </c>
      <c r="S60" s="20"/>
      <c r="T60" s="31"/>
      <c r="U60" s="32"/>
      <c r="V60" s="32"/>
      <c r="W60" s="31"/>
      <c r="X60" s="32"/>
      <c r="Y60" s="33"/>
      <c r="Z60" s="122">
        <f t="shared" si="8"/>
        <v>0.26684491354804057</v>
      </c>
      <c r="AA60" s="33"/>
      <c r="AB60" s="145"/>
    </row>
    <row r="61" spans="1:28" x14ac:dyDescent="0.2">
      <c r="A61" s="118"/>
      <c r="B61" s="118"/>
      <c r="C61" s="118">
        <v>32</v>
      </c>
      <c r="D61" s="28">
        <v>651.46320000000003</v>
      </c>
      <c r="E61" s="29">
        <v>38.411698000000001</v>
      </c>
      <c r="F61" s="29">
        <v>40.657561000000001</v>
      </c>
      <c r="G61" s="29">
        <v>40.155127</v>
      </c>
      <c r="H61" s="29">
        <v>3604.027</v>
      </c>
      <c r="I61" s="26"/>
      <c r="J61" s="27">
        <f t="shared" si="1"/>
        <v>1.0011186111111112</v>
      </c>
      <c r="K61" s="151"/>
      <c r="L61" s="25">
        <v>670.56960000000004</v>
      </c>
      <c r="M61" s="26">
        <v>38.213202000000003</v>
      </c>
      <c r="N61" s="26">
        <v>40.593699000000001</v>
      </c>
      <c r="O61" s="26">
        <v>40.100183000000001</v>
      </c>
      <c r="P61" s="26">
        <v>2591.9450000000002</v>
      </c>
      <c r="Q61" s="26"/>
      <c r="R61" s="27">
        <f t="shared" si="2"/>
        <v>0.71998472222222232</v>
      </c>
      <c r="S61" s="20"/>
      <c r="T61" s="31"/>
      <c r="U61" s="32"/>
      <c r="V61" s="32"/>
      <c r="W61" s="31"/>
      <c r="X61" s="32"/>
      <c r="Y61" s="33"/>
      <c r="Z61" s="122">
        <f t="shared" si="8"/>
        <v>0.28081976078425602</v>
      </c>
      <c r="AA61" s="33"/>
      <c r="AB61" s="145"/>
    </row>
    <row r="62" spans="1:28" ht="12.75" thickBot="1" x14ac:dyDescent="0.25">
      <c r="A62" s="118"/>
      <c r="B62" s="119"/>
      <c r="C62" s="119">
        <v>37</v>
      </c>
      <c r="D62" s="28">
        <v>328.44959999999998</v>
      </c>
      <c r="E62" s="29">
        <v>35.796441999999999</v>
      </c>
      <c r="F62" s="29">
        <v>39.477668999999999</v>
      </c>
      <c r="G62" s="29">
        <v>38.924812000000003</v>
      </c>
      <c r="H62" s="29">
        <v>3222.123</v>
      </c>
      <c r="I62" s="36"/>
      <c r="J62" s="37">
        <f t="shared" si="1"/>
        <v>0.89503416666666669</v>
      </c>
      <c r="K62" s="151"/>
      <c r="L62" s="35">
        <v>332.2824</v>
      </c>
      <c r="M62" s="36">
        <v>35.688107000000002</v>
      </c>
      <c r="N62" s="36">
        <v>39.426879999999997</v>
      </c>
      <c r="O62" s="36">
        <v>38.861476000000003</v>
      </c>
      <c r="P62" s="36">
        <v>2261.0830000000001</v>
      </c>
      <c r="Q62" s="36"/>
      <c r="R62" s="37">
        <f t="shared" si="2"/>
        <v>0.62807861111111118</v>
      </c>
      <c r="S62" s="20"/>
      <c r="T62" s="41"/>
      <c r="U62" s="42"/>
      <c r="V62" s="42"/>
      <c r="W62" s="41"/>
      <c r="X62" s="42"/>
      <c r="Y62" s="43"/>
      <c r="Z62" s="123">
        <f t="shared" si="8"/>
        <v>0.29826297754617065</v>
      </c>
      <c r="AA62" s="43"/>
      <c r="AB62" s="145"/>
    </row>
    <row r="63" spans="1:28" x14ac:dyDescent="0.2">
      <c r="A63" s="118"/>
      <c r="B63" s="117"/>
      <c r="C63" s="117">
        <v>22</v>
      </c>
      <c r="D63" s="17"/>
      <c r="E63" s="18"/>
      <c r="F63" s="18"/>
      <c r="G63" s="18"/>
      <c r="H63" s="18"/>
      <c r="I63" s="15"/>
      <c r="J63" s="16">
        <f t="shared" si="1"/>
        <v>0</v>
      </c>
      <c r="K63" s="151"/>
      <c r="L63" s="14"/>
      <c r="M63" s="15"/>
      <c r="N63" s="15"/>
      <c r="O63" s="15"/>
      <c r="P63" s="15"/>
      <c r="Q63" s="15"/>
      <c r="R63" s="16">
        <f t="shared" si="2"/>
        <v>0</v>
      </c>
      <c r="S63" s="20"/>
      <c r="T63" s="21" t="e">
        <f>bdrate($D63:$D66,E63:E66,$L63:$L66,M63:M66)</f>
        <v>#VALUE!</v>
      </c>
      <c r="U63" s="22" t="e">
        <f>bdrate($D63:$D66,F63:F66,$L63:$L66,N63:N66)</f>
        <v>#VALUE!</v>
      </c>
      <c r="V63" s="22" t="e">
        <f>bdrate($D63:$D66,G63:G66,$L63:$L66,O63:O66)</f>
        <v>#VALUE!</v>
      </c>
      <c r="W63" s="44" t="e">
        <f>bdrateOld($D63:$D66,E63:E66,$L63:$L66,M63:M66)</f>
        <v>#VALUE!</v>
      </c>
      <c r="X63" s="45" t="e">
        <f>bdrateOld($D63:$D66,F63:F66,$L63:$L66,N63:N66)</f>
        <v>#VALUE!</v>
      </c>
      <c r="Y63" s="46" t="e">
        <f>bdrateOld($D63:$D66,G63:G66,$L63:$L66,O63:O66)</f>
        <v>#VALUE!</v>
      </c>
      <c r="Z63" s="122" t="e">
        <f t="shared" ref="Z63:Z70" si="9">(H63-P63)/H63</f>
        <v>#DIV/0!</v>
      </c>
      <c r="AA63" s="140" t="e">
        <f>AVERAGE(Z63:Z66)</f>
        <v>#DIV/0!</v>
      </c>
      <c r="AB63" s="144" t="e">
        <f ca="1">[1]!BJM(D63:E66,L63:M66,0)</f>
        <v>#NAME?</v>
      </c>
    </row>
    <row r="64" spans="1:28" x14ac:dyDescent="0.2">
      <c r="A64" s="118"/>
      <c r="B64" s="118"/>
      <c r="C64" s="118">
        <v>27</v>
      </c>
      <c r="D64" s="28"/>
      <c r="E64" s="29"/>
      <c r="F64" s="29"/>
      <c r="G64" s="29"/>
      <c r="H64" s="29"/>
      <c r="I64" s="26"/>
      <c r="J64" s="27">
        <f t="shared" si="1"/>
        <v>0</v>
      </c>
      <c r="K64" s="151"/>
      <c r="L64" s="25"/>
      <c r="M64" s="26"/>
      <c r="N64" s="26"/>
      <c r="O64" s="26"/>
      <c r="P64" s="26"/>
      <c r="Q64" s="26"/>
      <c r="R64" s="27">
        <f t="shared" si="2"/>
        <v>0</v>
      </c>
      <c r="S64" s="20"/>
      <c r="T64" s="31"/>
      <c r="U64" s="32"/>
      <c r="V64" s="32"/>
      <c r="W64" s="31"/>
      <c r="X64" s="32"/>
      <c r="Y64" s="33"/>
      <c r="Z64" s="122" t="e">
        <f t="shared" si="9"/>
        <v>#DIV/0!</v>
      </c>
      <c r="AA64" s="33"/>
      <c r="AB64" s="145"/>
    </row>
    <row r="65" spans="1:29" x14ac:dyDescent="0.2">
      <c r="A65" s="118"/>
      <c r="B65" s="118"/>
      <c r="C65" s="118">
        <v>32</v>
      </c>
      <c r="D65" s="28"/>
      <c r="E65" s="29"/>
      <c r="F65" s="29"/>
      <c r="G65" s="29"/>
      <c r="H65" s="29"/>
      <c r="I65" s="26"/>
      <c r="J65" s="27">
        <f t="shared" si="1"/>
        <v>0</v>
      </c>
      <c r="K65" s="151"/>
      <c r="L65" s="25"/>
      <c r="M65" s="26"/>
      <c r="N65" s="26"/>
      <c r="O65" s="26"/>
      <c r="P65" s="26"/>
      <c r="Q65" s="26"/>
      <c r="R65" s="27">
        <f t="shared" si="2"/>
        <v>0</v>
      </c>
      <c r="S65" s="20"/>
      <c r="T65" s="31"/>
      <c r="U65" s="32"/>
      <c r="V65" s="32"/>
      <c r="W65" s="31"/>
      <c r="X65" s="32"/>
      <c r="Y65" s="33"/>
      <c r="Z65" s="122" t="e">
        <f t="shared" si="9"/>
        <v>#DIV/0!</v>
      </c>
      <c r="AA65" s="33"/>
      <c r="AB65" s="145"/>
    </row>
    <row r="66" spans="1:29" ht="12.75" thickBot="1" x14ac:dyDescent="0.25">
      <c r="A66" s="118"/>
      <c r="B66" s="119"/>
      <c r="C66" s="119">
        <v>37</v>
      </c>
      <c r="D66" s="28"/>
      <c r="E66" s="29"/>
      <c r="F66" s="29"/>
      <c r="G66" s="29"/>
      <c r="H66" s="29"/>
      <c r="I66" s="36"/>
      <c r="J66" s="37">
        <f t="shared" si="1"/>
        <v>0</v>
      </c>
      <c r="K66" s="151"/>
      <c r="L66" s="35"/>
      <c r="M66" s="36"/>
      <c r="N66" s="36"/>
      <c r="O66" s="36"/>
      <c r="P66" s="36"/>
      <c r="Q66" s="36"/>
      <c r="R66" s="37">
        <f t="shared" si="2"/>
        <v>0</v>
      </c>
      <c r="S66" s="20"/>
      <c r="T66" s="41"/>
      <c r="U66" s="42"/>
      <c r="V66" s="42"/>
      <c r="W66" s="41"/>
      <c r="X66" s="42"/>
      <c r="Y66" s="43"/>
      <c r="Z66" s="123" t="e">
        <f t="shared" si="9"/>
        <v>#DIV/0!</v>
      </c>
      <c r="AA66" s="43"/>
      <c r="AB66" s="145"/>
    </row>
    <row r="67" spans="1:29" x14ac:dyDescent="0.2">
      <c r="A67" s="118"/>
      <c r="B67" s="117"/>
      <c r="C67" s="117">
        <v>22</v>
      </c>
      <c r="D67" s="17"/>
      <c r="E67" s="18"/>
      <c r="F67" s="18"/>
      <c r="G67" s="18"/>
      <c r="H67" s="18"/>
      <c r="I67" s="15"/>
      <c r="J67" s="16">
        <f t="shared" si="1"/>
        <v>0</v>
      </c>
      <c r="K67" s="151"/>
      <c r="L67" s="14"/>
      <c r="M67" s="15"/>
      <c r="N67" s="15"/>
      <c r="O67" s="15"/>
      <c r="P67" s="15"/>
      <c r="Q67" s="15"/>
      <c r="R67" s="16">
        <f t="shared" si="2"/>
        <v>0</v>
      </c>
      <c r="S67" s="20"/>
      <c r="T67" s="21" t="e">
        <f>bdrate($D67:$D70,E67:E70,$L67:$L70,M67:M70)</f>
        <v>#VALUE!</v>
      </c>
      <c r="U67" s="22" t="e">
        <f>bdrate($D67:$D70,F67:F70,$L67:$L70,N67:N70)</f>
        <v>#VALUE!</v>
      </c>
      <c r="V67" s="22" t="e">
        <f>bdrate($D67:$D70,G67:G70,$L67:$L70,O67:O70)</f>
        <v>#VALUE!</v>
      </c>
      <c r="W67" s="44" t="e">
        <f>bdrateOld($D67:$D70,E67:E70,$L67:$L70,M67:M70)</f>
        <v>#VALUE!</v>
      </c>
      <c r="X67" s="45" t="e">
        <f>bdrateOld($D67:$D70,F67:F70,$L67:$L70,N67:N70)</f>
        <v>#VALUE!</v>
      </c>
      <c r="Y67" s="46" t="e">
        <f>bdrateOld($D67:$D70,G67:G70,$L67:$L70,O67:O70)</f>
        <v>#VALUE!</v>
      </c>
      <c r="Z67" s="122" t="e">
        <f t="shared" si="9"/>
        <v>#DIV/0!</v>
      </c>
      <c r="AA67" s="140" t="e">
        <f>AVERAGE(Z67:Z70)</f>
        <v>#DIV/0!</v>
      </c>
      <c r="AB67" s="144" t="e">
        <f ca="1">[1]!BJM(D67:E70,L67:M70,0)</f>
        <v>#NAME?</v>
      </c>
    </row>
    <row r="68" spans="1:29" x14ac:dyDescent="0.2">
      <c r="A68" s="118"/>
      <c r="B68" s="118"/>
      <c r="C68" s="118">
        <v>27</v>
      </c>
      <c r="D68" s="28"/>
      <c r="E68" s="29"/>
      <c r="F68" s="29"/>
      <c r="G68" s="29"/>
      <c r="H68" s="29"/>
      <c r="I68" s="26"/>
      <c r="J68" s="27">
        <f>H68/3600</f>
        <v>0</v>
      </c>
      <c r="K68" s="151"/>
      <c r="L68" s="25"/>
      <c r="M68" s="26"/>
      <c r="N68" s="26"/>
      <c r="O68" s="26"/>
      <c r="P68" s="26"/>
      <c r="Q68" s="26"/>
      <c r="R68" s="27">
        <f t="shared" ref="R68:R98" si="10">P68/3600</f>
        <v>0</v>
      </c>
      <c r="S68" s="20"/>
      <c r="T68" s="31"/>
      <c r="U68" s="32"/>
      <c r="V68" s="32"/>
      <c r="W68" s="31"/>
      <c r="X68" s="32"/>
      <c r="Y68" s="33"/>
      <c r="Z68" s="122" t="e">
        <f t="shared" si="9"/>
        <v>#DIV/0!</v>
      </c>
      <c r="AA68" s="33"/>
      <c r="AB68" s="145"/>
    </row>
    <row r="69" spans="1:29" x14ac:dyDescent="0.2">
      <c r="A69" s="118"/>
      <c r="B69" s="118"/>
      <c r="C69" s="118">
        <v>32</v>
      </c>
      <c r="D69" s="28"/>
      <c r="E69" s="29"/>
      <c r="F69" s="29"/>
      <c r="G69" s="29"/>
      <c r="H69" s="29"/>
      <c r="I69" s="26"/>
      <c r="J69" s="27">
        <f>H69/3600</f>
        <v>0</v>
      </c>
      <c r="K69" s="151"/>
      <c r="L69" s="25"/>
      <c r="M69" s="26"/>
      <c r="N69" s="26"/>
      <c r="O69" s="26"/>
      <c r="P69" s="26"/>
      <c r="Q69" s="26"/>
      <c r="R69" s="27">
        <f t="shared" si="10"/>
        <v>0</v>
      </c>
      <c r="S69" s="20"/>
      <c r="T69" s="31"/>
      <c r="U69" s="32"/>
      <c r="V69" s="32"/>
      <c r="W69" s="31"/>
      <c r="X69" s="32"/>
      <c r="Y69" s="33"/>
      <c r="Z69" s="122" t="e">
        <f t="shared" si="9"/>
        <v>#DIV/0!</v>
      </c>
      <c r="AA69" s="33"/>
      <c r="AB69" s="145"/>
    </row>
    <row r="70" spans="1:29" ht="12.75" thickBot="1" x14ac:dyDescent="0.25">
      <c r="A70" s="119"/>
      <c r="B70" s="119"/>
      <c r="C70" s="119">
        <v>37</v>
      </c>
      <c r="D70" s="28"/>
      <c r="E70" s="29"/>
      <c r="F70" s="29"/>
      <c r="G70" s="29"/>
      <c r="H70" s="29"/>
      <c r="I70" s="36"/>
      <c r="J70" s="37">
        <f>H70/3600</f>
        <v>0</v>
      </c>
      <c r="K70" s="151"/>
      <c r="L70" s="35"/>
      <c r="M70" s="36"/>
      <c r="N70" s="36"/>
      <c r="O70" s="36"/>
      <c r="P70" s="36"/>
      <c r="Q70" s="36"/>
      <c r="R70" s="37">
        <f t="shared" si="10"/>
        <v>0</v>
      </c>
      <c r="S70" s="20"/>
      <c r="T70" s="41"/>
      <c r="U70" s="42"/>
      <c r="V70" s="42"/>
      <c r="W70" s="41"/>
      <c r="X70" s="42"/>
      <c r="Y70" s="43"/>
      <c r="Z70" s="123" t="e">
        <f t="shared" si="9"/>
        <v>#DIV/0!</v>
      </c>
      <c r="AA70" s="43"/>
      <c r="AB70" s="145"/>
    </row>
    <row r="71" spans="1:29" x14ac:dyDescent="0.2">
      <c r="A71" s="117"/>
      <c r="B71" s="117"/>
      <c r="C71" s="117">
        <v>22</v>
      </c>
      <c r="D71" s="17"/>
      <c r="E71" s="18"/>
      <c r="F71" s="18"/>
      <c r="G71" s="18"/>
      <c r="H71" s="18"/>
      <c r="I71" s="15"/>
      <c r="J71" s="16">
        <f t="shared" ref="J71:J98" si="11">H71/3600</f>
        <v>0</v>
      </c>
      <c r="K71" s="151"/>
      <c r="L71" s="14"/>
      <c r="M71" s="15"/>
      <c r="N71" s="15"/>
      <c r="O71" s="15"/>
      <c r="P71" s="15"/>
      <c r="Q71" s="15"/>
      <c r="R71" s="16">
        <f t="shared" si="10"/>
        <v>0</v>
      </c>
      <c r="S71" s="68"/>
      <c r="T71" s="21" t="e">
        <f>bdrate($D71:$D74,E71:E74,$L71:$L74,M71:M74)</f>
        <v>#VALUE!</v>
      </c>
      <c r="U71" s="22" t="e">
        <f>bdrate($D71:$D74,F71:F74,$L71:$L74,N71:N74)</f>
        <v>#VALUE!</v>
      </c>
      <c r="V71" s="22" t="e">
        <f>bdrate($D71:$D74,G71:G74,$L71:$L74,O71:O74)</f>
        <v>#VALUE!</v>
      </c>
      <c r="W71" s="44" t="e">
        <f>bdrateOld($D71:$D74,E71:E74,$L71:$L74,M71:M74)</f>
        <v>#VALUE!</v>
      </c>
      <c r="X71" s="45" t="e">
        <f>bdrateOld($D71:$D74,F71:F74,$L71:$L74,N71:N74)</f>
        <v>#VALUE!</v>
      </c>
      <c r="Y71" s="46" t="e">
        <f>bdrateOld($D71:$D74,G71:G74,$L71:$L74,O71:O74)</f>
        <v>#VALUE!</v>
      </c>
      <c r="Z71" s="122" t="e">
        <f t="shared" ref="Z71:Z82" si="12">(H71-P71)/H71</f>
        <v>#DIV/0!</v>
      </c>
      <c r="AA71" s="140" t="e">
        <f>AVERAGE(Z71:Z74)</f>
        <v>#DIV/0!</v>
      </c>
      <c r="AB71" s="144" t="e">
        <f ca="1">[1]!BJM(D71:E74,L71:M74,0)</f>
        <v>#NAME?</v>
      </c>
    </row>
    <row r="72" spans="1:29" x14ac:dyDescent="0.2">
      <c r="A72" s="118"/>
      <c r="B72" s="118"/>
      <c r="C72" s="118">
        <v>27</v>
      </c>
      <c r="D72" s="28"/>
      <c r="E72" s="29"/>
      <c r="F72" s="29"/>
      <c r="G72" s="29"/>
      <c r="H72" s="29"/>
      <c r="I72" s="26"/>
      <c r="J72" s="27">
        <f t="shared" ref="J72:J82" si="13">H72/3600</f>
        <v>0</v>
      </c>
      <c r="K72" s="151"/>
      <c r="L72" s="25"/>
      <c r="M72" s="26"/>
      <c r="N72" s="26"/>
      <c r="O72" s="26"/>
      <c r="P72" s="26"/>
      <c r="Q72" s="26"/>
      <c r="R72" s="27">
        <f t="shared" si="10"/>
        <v>0</v>
      </c>
      <c r="S72" s="68"/>
      <c r="T72" s="31"/>
      <c r="U72" s="32"/>
      <c r="V72" s="32"/>
      <c r="W72" s="31"/>
      <c r="X72" s="32"/>
      <c r="Y72" s="33"/>
      <c r="Z72" s="122" t="e">
        <f t="shared" si="12"/>
        <v>#DIV/0!</v>
      </c>
      <c r="AA72" s="33"/>
      <c r="AB72" s="145"/>
    </row>
    <row r="73" spans="1:29" x14ac:dyDescent="0.2">
      <c r="A73" s="118"/>
      <c r="B73" s="118"/>
      <c r="C73" s="118">
        <v>32</v>
      </c>
      <c r="D73" s="28"/>
      <c r="E73" s="29"/>
      <c r="F73" s="29"/>
      <c r="G73" s="29"/>
      <c r="H73" s="29"/>
      <c r="I73" s="26"/>
      <c r="J73" s="27">
        <f t="shared" si="13"/>
        <v>0</v>
      </c>
      <c r="K73" s="151"/>
      <c r="L73" s="25"/>
      <c r="M73" s="26"/>
      <c r="N73" s="26"/>
      <c r="O73" s="26"/>
      <c r="P73" s="26"/>
      <c r="Q73" s="26"/>
      <c r="R73" s="27">
        <f t="shared" si="10"/>
        <v>0</v>
      </c>
      <c r="S73" s="68"/>
      <c r="T73" s="31"/>
      <c r="U73" s="32"/>
      <c r="V73" s="32"/>
      <c r="W73" s="31"/>
      <c r="X73" s="32"/>
      <c r="Y73" s="33"/>
      <c r="Z73" s="122" t="e">
        <f t="shared" si="12"/>
        <v>#DIV/0!</v>
      </c>
      <c r="AA73" s="33"/>
      <c r="AB73" s="145"/>
      <c r="AC73" s="139"/>
    </row>
    <row r="74" spans="1:29" ht="12.75" thickBot="1" x14ac:dyDescent="0.25">
      <c r="A74" s="118"/>
      <c r="B74" s="119"/>
      <c r="C74" s="119">
        <v>37</v>
      </c>
      <c r="D74" s="28"/>
      <c r="E74" s="29"/>
      <c r="F74" s="29"/>
      <c r="G74" s="29"/>
      <c r="H74" s="29"/>
      <c r="I74" s="36"/>
      <c r="J74" s="37">
        <f t="shared" si="13"/>
        <v>0</v>
      </c>
      <c r="K74" s="151"/>
      <c r="L74" s="25"/>
      <c r="M74" s="26"/>
      <c r="N74" s="26"/>
      <c r="O74" s="26"/>
      <c r="P74" s="26"/>
      <c r="Q74" s="36"/>
      <c r="R74" s="37">
        <f t="shared" si="10"/>
        <v>0</v>
      </c>
      <c r="S74" s="68"/>
      <c r="T74" s="41"/>
      <c r="U74" s="42"/>
      <c r="V74" s="42"/>
      <c r="W74" s="41"/>
      <c r="X74" s="42"/>
      <c r="Y74" s="43"/>
      <c r="Z74" s="123" t="e">
        <f t="shared" si="12"/>
        <v>#DIV/0!</v>
      </c>
      <c r="AA74" s="43"/>
      <c r="AB74" s="145"/>
      <c r="AC74" s="139"/>
    </row>
    <row r="75" spans="1:29" x14ac:dyDescent="0.2">
      <c r="A75" s="118"/>
      <c r="B75" s="117"/>
      <c r="C75" s="117">
        <v>22</v>
      </c>
      <c r="D75" s="17"/>
      <c r="E75" s="18"/>
      <c r="F75" s="18"/>
      <c r="G75" s="18"/>
      <c r="H75" s="18"/>
      <c r="I75" s="15"/>
      <c r="J75" s="16">
        <f t="shared" si="13"/>
        <v>0</v>
      </c>
      <c r="K75" s="151"/>
      <c r="L75" s="14"/>
      <c r="M75" s="15"/>
      <c r="N75" s="15"/>
      <c r="O75" s="15"/>
      <c r="P75" s="15"/>
      <c r="Q75" s="15"/>
      <c r="R75" s="16">
        <f t="shared" si="10"/>
        <v>0</v>
      </c>
      <c r="S75" s="68"/>
      <c r="T75" s="21" t="e">
        <f>bdrate($D75:$D78,E75:E78,$L75:$L78,M75:M78)</f>
        <v>#VALUE!</v>
      </c>
      <c r="U75" s="22" t="e">
        <f>bdrate($D75:$D78,F75:F78,$L75:$L78,N75:N78)</f>
        <v>#VALUE!</v>
      </c>
      <c r="V75" s="22" t="e">
        <f>bdrate($D75:$D78,G75:G78,$L75:$L78,O75:O78)</f>
        <v>#VALUE!</v>
      </c>
      <c r="W75" s="44" t="e">
        <f>bdrateOld($D75:$D78,E75:E78,$L75:$L78,M75:M78)</f>
        <v>#VALUE!</v>
      </c>
      <c r="X75" s="45" t="e">
        <f>bdrateOld($D75:$D78,F75:F78,$L75:$L78,N75:N78)</f>
        <v>#VALUE!</v>
      </c>
      <c r="Y75" s="46" t="e">
        <f>bdrateOld($D75:$D78,G75:G78,$L75:$L78,O75:O78)</f>
        <v>#VALUE!</v>
      </c>
      <c r="Z75" s="122" t="e">
        <f t="shared" si="12"/>
        <v>#DIV/0!</v>
      </c>
      <c r="AA75" s="140" t="e">
        <f>AVERAGE(Z75:Z78)</f>
        <v>#DIV/0!</v>
      </c>
      <c r="AB75" s="144" t="e">
        <f ca="1">[1]!BJM(D75:E78,L75:M78,0)</f>
        <v>#NAME?</v>
      </c>
      <c r="AC75" s="139"/>
    </row>
    <row r="76" spans="1:29" x14ac:dyDescent="0.2">
      <c r="A76" s="118"/>
      <c r="B76" s="118"/>
      <c r="C76" s="118">
        <v>27</v>
      </c>
      <c r="D76" s="28"/>
      <c r="E76" s="29"/>
      <c r="F76" s="29"/>
      <c r="G76" s="29"/>
      <c r="H76" s="29"/>
      <c r="I76" s="26"/>
      <c r="J76" s="27">
        <f t="shared" si="13"/>
        <v>0</v>
      </c>
      <c r="K76" s="151"/>
      <c r="L76" s="25"/>
      <c r="M76" s="26"/>
      <c r="N76" s="26"/>
      <c r="O76" s="26"/>
      <c r="P76" s="26"/>
      <c r="Q76" s="26"/>
      <c r="R76" s="27">
        <f t="shared" si="10"/>
        <v>0</v>
      </c>
      <c r="S76" s="68"/>
      <c r="T76" s="31"/>
      <c r="U76" s="32"/>
      <c r="V76" s="32"/>
      <c r="W76" s="31"/>
      <c r="X76" s="32"/>
      <c r="Y76" s="33"/>
      <c r="Z76" s="122" t="e">
        <f t="shared" si="12"/>
        <v>#DIV/0!</v>
      </c>
      <c r="AA76" s="33"/>
      <c r="AB76" s="145"/>
    </row>
    <row r="77" spans="1:29" x14ac:dyDescent="0.2">
      <c r="A77" s="118"/>
      <c r="B77" s="118"/>
      <c r="C77" s="118">
        <v>32</v>
      </c>
      <c r="D77" s="28"/>
      <c r="E77" s="29"/>
      <c r="F77" s="29"/>
      <c r="G77" s="29"/>
      <c r="H77" s="29"/>
      <c r="I77" s="26"/>
      <c r="J77" s="27">
        <f t="shared" si="13"/>
        <v>0</v>
      </c>
      <c r="K77" s="151"/>
      <c r="L77" s="25"/>
      <c r="M77" s="26"/>
      <c r="N77" s="26"/>
      <c r="O77" s="26"/>
      <c r="P77" s="26"/>
      <c r="Q77" s="26"/>
      <c r="R77" s="27">
        <f t="shared" si="10"/>
        <v>0</v>
      </c>
      <c r="S77" s="68"/>
      <c r="T77" s="31"/>
      <c r="U77" s="32"/>
      <c r="V77" s="32"/>
      <c r="W77" s="31"/>
      <c r="X77" s="32"/>
      <c r="Y77" s="33"/>
      <c r="Z77" s="122" t="e">
        <f t="shared" si="12"/>
        <v>#DIV/0!</v>
      </c>
      <c r="AA77" s="33"/>
      <c r="AB77" s="145"/>
      <c r="AC77" s="144"/>
    </row>
    <row r="78" spans="1:29" ht="12.75" thickBot="1" x14ac:dyDescent="0.25">
      <c r="A78" s="118"/>
      <c r="B78" s="119"/>
      <c r="C78" s="119">
        <v>37</v>
      </c>
      <c r="D78" s="28"/>
      <c r="E78" s="29"/>
      <c r="F78" s="29"/>
      <c r="G78" s="29"/>
      <c r="H78" s="29"/>
      <c r="I78" s="36"/>
      <c r="J78" s="37">
        <f t="shared" si="13"/>
        <v>0</v>
      </c>
      <c r="K78" s="151"/>
      <c r="L78" s="25"/>
      <c r="M78" s="26"/>
      <c r="N78" s="26"/>
      <c r="O78" s="26"/>
      <c r="P78" s="26"/>
      <c r="Q78" s="36"/>
      <c r="R78" s="37">
        <f t="shared" si="10"/>
        <v>0</v>
      </c>
      <c r="S78" s="68"/>
      <c r="T78" s="41"/>
      <c r="U78" s="42"/>
      <c r="V78" s="42"/>
      <c r="W78" s="41"/>
      <c r="X78" s="42"/>
      <c r="Y78" s="43"/>
      <c r="Z78" s="123" t="e">
        <f t="shared" si="12"/>
        <v>#DIV/0!</v>
      </c>
      <c r="AA78" s="43"/>
      <c r="AB78" s="145"/>
    </row>
    <row r="79" spans="1:29" x14ac:dyDescent="0.2">
      <c r="A79" s="118"/>
      <c r="B79" s="117"/>
      <c r="C79" s="117">
        <v>22</v>
      </c>
      <c r="D79" s="17"/>
      <c r="E79" s="18"/>
      <c r="F79" s="18"/>
      <c r="G79" s="18"/>
      <c r="H79" s="18"/>
      <c r="I79" s="15"/>
      <c r="J79" s="16">
        <f t="shared" si="13"/>
        <v>0</v>
      </c>
      <c r="K79" s="151"/>
      <c r="L79" s="14"/>
      <c r="M79" s="15"/>
      <c r="N79" s="15"/>
      <c r="O79" s="15"/>
      <c r="P79" s="15"/>
      <c r="Q79" s="15"/>
      <c r="R79" s="16">
        <f t="shared" si="10"/>
        <v>0</v>
      </c>
      <c r="S79" s="68"/>
      <c r="T79" s="21" t="e">
        <f>bdrate($D79:$D82,E79:E82,$L79:$L82,M79:M82)</f>
        <v>#VALUE!</v>
      </c>
      <c r="U79" s="22" t="e">
        <f>bdrate($D79:$D82,F79:F82,$L79:$L82,N79:N82)</f>
        <v>#VALUE!</v>
      </c>
      <c r="V79" s="22" t="e">
        <f>bdrate($D79:$D82,G79:G82,$L79:$L82,O79:O82)</f>
        <v>#VALUE!</v>
      </c>
      <c r="W79" s="44" t="e">
        <f>bdrateOld($D79:$D82,E79:E82,$L79:$L82,M79:M82)</f>
        <v>#VALUE!</v>
      </c>
      <c r="X79" s="45" t="e">
        <f>bdrateOld($D79:$D82,F79:F82,$L79:$L82,N79:N82)</f>
        <v>#VALUE!</v>
      </c>
      <c r="Y79" s="46" t="e">
        <f>bdrateOld($D79:$D82,G79:G82,$L79:$L82,O79:O82)</f>
        <v>#VALUE!</v>
      </c>
      <c r="Z79" s="122" t="e">
        <f t="shared" si="12"/>
        <v>#DIV/0!</v>
      </c>
      <c r="AA79" s="140" t="e">
        <f>AVERAGE(Z79:Z82)</f>
        <v>#DIV/0!</v>
      </c>
      <c r="AB79" s="144" t="e">
        <f ca="1">[1]!BJM(D79:E82,L79:M82,0)</f>
        <v>#NAME?</v>
      </c>
    </row>
    <row r="80" spans="1:29" x14ac:dyDescent="0.2">
      <c r="A80" s="118"/>
      <c r="B80" s="118"/>
      <c r="C80" s="118">
        <v>27</v>
      </c>
      <c r="D80" s="28"/>
      <c r="E80" s="29"/>
      <c r="F80" s="29"/>
      <c r="G80" s="29"/>
      <c r="H80" s="29"/>
      <c r="I80" s="26"/>
      <c r="J80" s="27">
        <f t="shared" si="13"/>
        <v>0</v>
      </c>
      <c r="K80" s="151"/>
      <c r="L80" s="25"/>
      <c r="M80" s="26"/>
      <c r="N80" s="26"/>
      <c r="O80" s="26"/>
      <c r="P80" s="26"/>
      <c r="Q80" s="26"/>
      <c r="R80" s="27">
        <f t="shared" si="10"/>
        <v>0</v>
      </c>
      <c r="S80" s="68"/>
      <c r="T80" s="31"/>
      <c r="U80" s="32"/>
      <c r="V80" s="32"/>
      <c r="W80" s="31"/>
      <c r="X80" s="32"/>
      <c r="Y80" s="33"/>
      <c r="Z80" s="122" t="e">
        <f t="shared" si="12"/>
        <v>#DIV/0!</v>
      </c>
      <c r="AA80" s="33"/>
      <c r="AB80" s="145"/>
    </row>
    <row r="81" spans="1:28" x14ac:dyDescent="0.2">
      <c r="A81" s="118"/>
      <c r="B81" s="118"/>
      <c r="C81" s="118">
        <v>32</v>
      </c>
      <c r="D81" s="28"/>
      <c r="E81" s="29"/>
      <c r="F81" s="29"/>
      <c r="G81" s="29"/>
      <c r="H81" s="29"/>
      <c r="I81" s="26"/>
      <c r="J81" s="27">
        <f t="shared" si="13"/>
        <v>0</v>
      </c>
      <c r="K81" s="151"/>
      <c r="L81" s="25"/>
      <c r="M81" s="26"/>
      <c r="N81" s="26"/>
      <c r="O81" s="26"/>
      <c r="P81" s="26"/>
      <c r="Q81" s="26"/>
      <c r="R81" s="27">
        <f t="shared" si="10"/>
        <v>0</v>
      </c>
      <c r="S81" s="68"/>
      <c r="T81" s="31"/>
      <c r="U81" s="32"/>
      <c r="V81" s="32"/>
      <c r="W81" s="31"/>
      <c r="X81" s="32"/>
      <c r="Y81" s="33"/>
      <c r="Z81" s="122" t="e">
        <f t="shared" si="12"/>
        <v>#DIV/0!</v>
      </c>
      <c r="AA81" s="33"/>
      <c r="AB81" s="145"/>
    </row>
    <row r="82" spans="1:28" ht="12.75" thickBot="1" x14ac:dyDescent="0.25">
      <c r="A82" s="119"/>
      <c r="B82" s="119"/>
      <c r="C82" s="119">
        <v>37</v>
      </c>
      <c r="D82" s="28"/>
      <c r="E82" s="29"/>
      <c r="F82" s="29"/>
      <c r="G82" s="29"/>
      <c r="H82" s="29"/>
      <c r="I82" s="36"/>
      <c r="J82" s="37">
        <f t="shared" si="13"/>
        <v>0</v>
      </c>
      <c r="K82" s="151"/>
      <c r="L82" s="25"/>
      <c r="M82" s="26"/>
      <c r="N82" s="26"/>
      <c r="O82" s="26"/>
      <c r="P82" s="26"/>
      <c r="Q82" s="36"/>
      <c r="R82" s="37">
        <f t="shared" si="10"/>
        <v>0</v>
      </c>
      <c r="S82" s="68"/>
      <c r="T82" s="41"/>
      <c r="U82" s="42"/>
      <c r="V82" s="42"/>
      <c r="W82" s="41"/>
      <c r="X82" s="42"/>
      <c r="Y82" s="43"/>
      <c r="Z82" s="123" t="e">
        <f t="shared" si="12"/>
        <v>#DIV/0!</v>
      </c>
      <c r="AA82" s="43"/>
      <c r="AB82" s="145"/>
    </row>
    <row r="83" spans="1:28" x14ac:dyDescent="0.2">
      <c r="A83" s="117"/>
      <c r="B83" s="117"/>
      <c r="C83" s="117">
        <v>22</v>
      </c>
      <c r="D83" s="17"/>
      <c r="E83" s="18"/>
      <c r="F83" s="18"/>
      <c r="G83" s="18"/>
      <c r="H83" s="18"/>
      <c r="I83" s="15"/>
      <c r="J83" s="16">
        <f t="shared" si="11"/>
        <v>0</v>
      </c>
      <c r="K83" s="151"/>
      <c r="L83" s="14"/>
      <c r="M83" s="15"/>
      <c r="N83" s="15"/>
      <c r="O83" s="15"/>
      <c r="P83" s="15"/>
      <c r="Q83" s="15"/>
      <c r="R83" s="16">
        <f t="shared" si="10"/>
        <v>0</v>
      </c>
      <c r="S83" s="20"/>
      <c r="T83" s="21" t="e">
        <f>bdrate($D83:$D86,E83:E86,$L83:$L86,M83:M86)</f>
        <v>#VALUE!</v>
      </c>
      <c r="U83" s="22" t="e">
        <f>bdrate($D83:$D86,F83:F86,$L83:$L86,N83:N86)</f>
        <v>#VALUE!</v>
      </c>
      <c r="V83" s="22" t="e">
        <f>bdrate($D83:$D86,G83:G86,$L83:$L86,O83:O86)</f>
        <v>#VALUE!</v>
      </c>
      <c r="W83" s="44" t="e">
        <f>bdrateOld($D83:$D86,E83:E86,$L83:$L86,M83:M86)</f>
        <v>#VALUE!</v>
      </c>
      <c r="X83" s="45" t="e">
        <f>bdrateOld($D83:$D86,F83:F86,$L83:$L86,N83:N86)</f>
        <v>#VALUE!</v>
      </c>
      <c r="Y83" s="46" t="e">
        <f>bdrateOld($D83:$D86,G83:G86,$L83:$L86,O83:O86)</f>
        <v>#VALUE!</v>
      </c>
      <c r="Z83" s="122" t="e">
        <f t="shared" ref="Z83:Z98" si="14">(H83-P83)/H83</f>
        <v>#DIV/0!</v>
      </c>
      <c r="AA83" s="140" t="e">
        <f>AVERAGE(Z83:Z86)</f>
        <v>#DIV/0!</v>
      </c>
      <c r="AB83" s="125"/>
    </row>
    <row r="84" spans="1:28" x14ac:dyDescent="0.2">
      <c r="A84" s="118"/>
      <c r="B84" s="118"/>
      <c r="C84" s="118">
        <v>27</v>
      </c>
      <c r="D84" s="28"/>
      <c r="E84" s="29"/>
      <c r="F84" s="29"/>
      <c r="G84" s="29"/>
      <c r="H84" s="29"/>
      <c r="I84" s="26"/>
      <c r="J84" s="27">
        <f t="shared" si="11"/>
        <v>0</v>
      </c>
      <c r="L84" s="25"/>
      <c r="M84" s="26"/>
      <c r="N84" s="26"/>
      <c r="O84" s="26"/>
      <c r="P84" s="26"/>
      <c r="Q84" s="26"/>
      <c r="R84" s="27">
        <f t="shared" si="10"/>
        <v>0</v>
      </c>
      <c r="S84" s="20"/>
      <c r="T84" s="31"/>
      <c r="U84" s="32"/>
      <c r="V84" s="32"/>
      <c r="W84" s="31"/>
      <c r="X84" s="32"/>
      <c r="Y84" s="33"/>
      <c r="Z84" s="122" t="e">
        <f t="shared" si="14"/>
        <v>#DIV/0!</v>
      </c>
      <c r="AA84" s="33"/>
      <c r="AB84" s="125"/>
    </row>
    <row r="85" spans="1:28" x14ac:dyDescent="0.2">
      <c r="A85" s="118"/>
      <c r="B85" s="118"/>
      <c r="C85" s="118">
        <v>32</v>
      </c>
      <c r="D85" s="28"/>
      <c r="E85" s="29"/>
      <c r="F85" s="29"/>
      <c r="G85" s="29"/>
      <c r="H85" s="29"/>
      <c r="I85" s="26"/>
      <c r="J85" s="27">
        <f t="shared" si="11"/>
        <v>0</v>
      </c>
      <c r="L85" s="25"/>
      <c r="M85" s="26"/>
      <c r="N85" s="26"/>
      <c r="O85" s="26"/>
      <c r="P85" s="26"/>
      <c r="Q85" s="26"/>
      <c r="R85" s="27">
        <f t="shared" si="10"/>
        <v>0</v>
      </c>
      <c r="S85" s="20"/>
      <c r="T85" s="31"/>
      <c r="U85" s="32"/>
      <c r="V85" s="32"/>
      <c r="W85" s="31"/>
      <c r="X85" s="32"/>
      <c r="Y85" s="33"/>
      <c r="Z85" s="122" t="e">
        <f t="shared" si="14"/>
        <v>#DIV/0!</v>
      </c>
      <c r="AA85" s="33"/>
      <c r="AB85" s="125"/>
    </row>
    <row r="86" spans="1:28" ht="12.75" thickBot="1" x14ac:dyDescent="0.25">
      <c r="A86" s="118"/>
      <c r="B86" s="119"/>
      <c r="C86" s="119">
        <v>37</v>
      </c>
      <c r="D86" s="28"/>
      <c r="E86" s="29"/>
      <c r="F86" s="29"/>
      <c r="G86" s="29"/>
      <c r="H86" s="29"/>
      <c r="I86" s="36"/>
      <c r="J86" s="37">
        <f t="shared" si="11"/>
        <v>0</v>
      </c>
      <c r="L86" s="35"/>
      <c r="M86" s="36"/>
      <c r="N86" s="36"/>
      <c r="O86" s="36"/>
      <c r="P86" s="36"/>
      <c r="Q86" s="36"/>
      <c r="R86" s="37">
        <f t="shared" si="10"/>
        <v>0</v>
      </c>
      <c r="S86" s="20"/>
      <c r="T86" s="41"/>
      <c r="U86" s="42"/>
      <c r="V86" s="42"/>
      <c r="W86" s="41"/>
      <c r="X86" s="42"/>
      <c r="Y86" s="43"/>
      <c r="Z86" s="123" t="e">
        <f t="shared" si="14"/>
        <v>#DIV/0!</v>
      </c>
      <c r="AA86" s="43"/>
      <c r="AB86" s="125"/>
    </row>
    <row r="87" spans="1:28" x14ac:dyDescent="0.2">
      <c r="A87" s="118"/>
      <c r="B87" s="117"/>
      <c r="C87" s="117">
        <v>22</v>
      </c>
      <c r="D87" s="17"/>
      <c r="E87" s="18"/>
      <c r="F87" s="18"/>
      <c r="G87" s="18"/>
      <c r="H87" s="18"/>
      <c r="I87" s="15"/>
      <c r="J87" s="16">
        <f t="shared" si="11"/>
        <v>0</v>
      </c>
      <c r="L87" s="14"/>
      <c r="M87" s="15"/>
      <c r="N87" s="15"/>
      <c r="O87" s="15"/>
      <c r="P87" s="15"/>
      <c r="Q87" s="15"/>
      <c r="R87" s="16">
        <f t="shared" si="10"/>
        <v>0</v>
      </c>
      <c r="S87" s="20"/>
      <c r="T87" s="21" t="e">
        <f>bdrate($D87:$D90,E87:E90,$L87:$L90,M87:M90)</f>
        <v>#VALUE!</v>
      </c>
      <c r="U87" s="22" t="e">
        <f>bdrate($D87:$D90,F87:F90,$L87:$L90,N87:N90)</f>
        <v>#VALUE!</v>
      </c>
      <c r="V87" s="22" t="e">
        <f>bdrate($D87:$D90,G87:G90,$L87:$L90,O87:O90)</f>
        <v>#VALUE!</v>
      </c>
      <c r="W87" s="44" t="e">
        <f>bdrateOld($D87:$D90,E87:E90,$L87:$L90,M87:M90)</f>
        <v>#VALUE!</v>
      </c>
      <c r="X87" s="45" t="e">
        <f>bdrateOld($D87:$D90,F87:F90,$L87:$L90,N87:N90)</f>
        <v>#VALUE!</v>
      </c>
      <c r="Y87" s="46" t="e">
        <f>bdrateOld($D87:$D90,G87:G90,$L87:$L90,O87:O90)</f>
        <v>#VALUE!</v>
      </c>
      <c r="Z87" s="122" t="e">
        <f t="shared" si="14"/>
        <v>#DIV/0!</v>
      </c>
      <c r="AA87" s="140" t="e">
        <f>AVERAGE(Z87:Z90)</f>
        <v>#DIV/0!</v>
      </c>
      <c r="AB87" s="125"/>
    </row>
    <row r="88" spans="1:28" x14ac:dyDescent="0.2">
      <c r="A88" s="118"/>
      <c r="B88" s="118"/>
      <c r="C88" s="118">
        <v>27</v>
      </c>
      <c r="D88" s="28"/>
      <c r="E88" s="29"/>
      <c r="F88" s="29"/>
      <c r="G88" s="29"/>
      <c r="H88" s="29"/>
      <c r="I88" s="26"/>
      <c r="J88" s="27">
        <f t="shared" si="11"/>
        <v>0</v>
      </c>
      <c r="L88" s="25"/>
      <c r="M88" s="26"/>
      <c r="N88" s="26"/>
      <c r="O88" s="26"/>
      <c r="P88" s="26"/>
      <c r="Q88" s="26"/>
      <c r="R88" s="27">
        <f t="shared" si="10"/>
        <v>0</v>
      </c>
      <c r="S88" s="20"/>
      <c r="T88" s="31"/>
      <c r="U88" s="32"/>
      <c r="V88" s="32"/>
      <c r="W88" s="31"/>
      <c r="X88" s="32"/>
      <c r="Y88" s="33"/>
      <c r="Z88" s="122" t="e">
        <f t="shared" si="14"/>
        <v>#DIV/0!</v>
      </c>
      <c r="AA88" s="33"/>
      <c r="AB88" s="125"/>
    </row>
    <row r="89" spans="1:28" x14ac:dyDescent="0.2">
      <c r="A89" s="118"/>
      <c r="B89" s="118"/>
      <c r="C89" s="118">
        <v>32</v>
      </c>
      <c r="D89" s="28"/>
      <c r="E89" s="29"/>
      <c r="F89" s="29"/>
      <c r="G89" s="29"/>
      <c r="H89" s="29"/>
      <c r="I89" s="26"/>
      <c r="J89" s="27">
        <f t="shared" si="11"/>
        <v>0</v>
      </c>
      <c r="L89" s="25"/>
      <c r="M89" s="26"/>
      <c r="N89" s="26"/>
      <c r="O89" s="26"/>
      <c r="P89" s="26"/>
      <c r="Q89" s="26"/>
      <c r="R89" s="27">
        <f t="shared" si="10"/>
        <v>0</v>
      </c>
      <c r="S89" s="20"/>
      <c r="T89" s="31"/>
      <c r="U89" s="32"/>
      <c r="V89" s="32"/>
      <c r="W89" s="31"/>
      <c r="X89" s="32"/>
      <c r="Y89" s="33"/>
      <c r="Z89" s="122" t="e">
        <f t="shared" si="14"/>
        <v>#DIV/0!</v>
      </c>
      <c r="AA89" s="33"/>
      <c r="AB89" s="125"/>
    </row>
    <row r="90" spans="1:28" ht="12.75" thickBot="1" x14ac:dyDescent="0.25">
      <c r="A90" s="118"/>
      <c r="B90" s="119"/>
      <c r="C90" s="119">
        <v>37</v>
      </c>
      <c r="D90" s="28"/>
      <c r="E90" s="29"/>
      <c r="F90" s="29"/>
      <c r="G90" s="29"/>
      <c r="H90" s="29"/>
      <c r="I90" s="36"/>
      <c r="J90" s="37">
        <f t="shared" si="11"/>
        <v>0</v>
      </c>
      <c r="L90" s="35"/>
      <c r="M90" s="36"/>
      <c r="N90" s="36"/>
      <c r="O90" s="36"/>
      <c r="P90" s="36"/>
      <c r="Q90" s="36"/>
      <c r="R90" s="37">
        <f t="shared" si="10"/>
        <v>0</v>
      </c>
      <c r="S90" s="20"/>
      <c r="T90" s="41"/>
      <c r="U90" s="42"/>
      <c r="V90" s="42"/>
      <c r="W90" s="41"/>
      <c r="X90" s="42"/>
      <c r="Y90" s="43"/>
      <c r="Z90" s="123" t="e">
        <f t="shared" si="14"/>
        <v>#DIV/0!</v>
      </c>
      <c r="AA90" s="43"/>
      <c r="AB90" s="125"/>
    </row>
    <row r="91" spans="1:28" x14ac:dyDescent="0.2">
      <c r="A91" s="118"/>
      <c r="B91" s="117"/>
      <c r="C91" s="117">
        <v>22</v>
      </c>
      <c r="D91" s="17"/>
      <c r="E91" s="18"/>
      <c r="F91" s="18"/>
      <c r="G91" s="18"/>
      <c r="H91" s="18"/>
      <c r="I91" s="15"/>
      <c r="J91" s="16">
        <f t="shared" si="11"/>
        <v>0</v>
      </c>
      <c r="L91" s="14"/>
      <c r="M91" s="15"/>
      <c r="N91" s="15"/>
      <c r="O91" s="15"/>
      <c r="P91" s="15"/>
      <c r="Q91" s="15"/>
      <c r="R91" s="16">
        <f t="shared" si="10"/>
        <v>0</v>
      </c>
      <c r="S91" s="20"/>
      <c r="T91" s="21" t="e">
        <f>bdrate($D91:$D94,E91:E94,$L91:$L94,M91:M94)</f>
        <v>#VALUE!</v>
      </c>
      <c r="U91" s="22" t="e">
        <f>bdrate($D91:$D94,F91:F94,$L91:$L94,N91:N94)</f>
        <v>#VALUE!</v>
      </c>
      <c r="V91" s="22" t="e">
        <f>bdrate($D91:$D94,G91:G94,$L91:$L94,O91:O94)</f>
        <v>#VALUE!</v>
      </c>
      <c r="W91" s="44" t="e">
        <f>bdrateOld($D91:$D94,E91:E94,$L91:$L94,M91:M94)</f>
        <v>#VALUE!</v>
      </c>
      <c r="X91" s="45" t="e">
        <f>bdrateOld($D91:$D94,F91:F94,$L91:$L94,N91:N94)</f>
        <v>#VALUE!</v>
      </c>
      <c r="Y91" s="46" t="e">
        <f>bdrateOld($D91:$D94,G91:G94,$L91:$L94,O91:O94)</f>
        <v>#VALUE!</v>
      </c>
      <c r="Z91" s="122" t="e">
        <f t="shared" si="14"/>
        <v>#DIV/0!</v>
      </c>
      <c r="AA91" s="140" t="e">
        <f>AVERAGE(Z91:Z94)</f>
        <v>#DIV/0!</v>
      </c>
      <c r="AB91" s="125"/>
    </row>
    <row r="92" spans="1:28" x14ac:dyDescent="0.2">
      <c r="A92" s="118"/>
      <c r="B92" s="118"/>
      <c r="C92" s="118">
        <v>27</v>
      </c>
      <c r="D92" s="28"/>
      <c r="E92" s="29"/>
      <c r="F92" s="29"/>
      <c r="G92" s="29"/>
      <c r="H92" s="29"/>
      <c r="I92" s="26"/>
      <c r="J92" s="27">
        <f t="shared" si="11"/>
        <v>0</v>
      </c>
      <c r="L92" s="25"/>
      <c r="M92" s="26"/>
      <c r="N92" s="26"/>
      <c r="O92" s="26"/>
      <c r="P92" s="26"/>
      <c r="Q92" s="26"/>
      <c r="R92" s="27">
        <f t="shared" si="10"/>
        <v>0</v>
      </c>
      <c r="S92" s="20"/>
      <c r="T92" s="31"/>
      <c r="U92" s="32"/>
      <c r="V92" s="32"/>
      <c r="W92" s="31"/>
      <c r="X92" s="32"/>
      <c r="Y92" s="33"/>
      <c r="Z92" s="122" t="e">
        <f t="shared" si="14"/>
        <v>#DIV/0!</v>
      </c>
      <c r="AA92" s="33"/>
      <c r="AB92" s="125"/>
    </row>
    <row r="93" spans="1:28" x14ac:dyDescent="0.2">
      <c r="A93" s="118"/>
      <c r="B93" s="118"/>
      <c r="C93" s="118">
        <v>32</v>
      </c>
      <c r="D93" s="28"/>
      <c r="E93" s="29"/>
      <c r="F93" s="29"/>
      <c r="G93" s="29"/>
      <c r="H93" s="29"/>
      <c r="I93" s="26"/>
      <c r="J93" s="27">
        <f t="shared" si="11"/>
        <v>0</v>
      </c>
      <c r="L93" s="25"/>
      <c r="M93" s="26"/>
      <c r="N93" s="26"/>
      <c r="O93" s="26"/>
      <c r="P93" s="26"/>
      <c r="Q93" s="26"/>
      <c r="R93" s="27">
        <f t="shared" si="10"/>
        <v>0</v>
      </c>
      <c r="S93" s="20"/>
      <c r="T93" s="31"/>
      <c r="U93" s="32"/>
      <c r="V93" s="32"/>
      <c r="W93" s="31"/>
      <c r="X93" s="32"/>
      <c r="Y93" s="33"/>
      <c r="Z93" s="122" t="e">
        <f t="shared" si="14"/>
        <v>#DIV/0!</v>
      </c>
      <c r="AA93" s="33"/>
      <c r="AB93" s="125"/>
    </row>
    <row r="94" spans="1:28" ht="12.75" thickBot="1" x14ac:dyDescent="0.25">
      <c r="A94" s="118"/>
      <c r="B94" s="119"/>
      <c r="C94" s="119">
        <v>37</v>
      </c>
      <c r="D94" s="28"/>
      <c r="E94" s="29"/>
      <c r="F94" s="29"/>
      <c r="G94" s="29"/>
      <c r="H94" s="29"/>
      <c r="I94" s="36"/>
      <c r="J94" s="37">
        <f t="shared" si="11"/>
        <v>0</v>
      </c>
      <c r="L94" s="35"/>
      <c r="M94" s="36"/>
      <c r="N94" s="36"/>
      <c r="O94" s="36"/>
      <c r="P94" s="36"/>
      <c r="Q94" s="36"/>
      <c r="R94" s="37">
        <f t="shared" si="10"/>
        <v>0</v>
      </c>
      <c r="S94" s="20"/>
      <c r="T94" s="41"/>
      <c r="U94" s="42"/>
      <c r="V94" s="42"/>
      <c r="W94" s="41"/>
      <c r="X94" s="42"/>
      <c r="Y94" s="43"/>
      <c r="Z94" s="123" t="e">
        <f t="shared" si="14"/>
        <v>#DIV/0!</v>
      </c>
      <c r="AA94" s="43"/>
      <c r="AB94" s="125"/>
    </row>
    <row r="95" spans="1:28" x14ac:dyDescent="0.2">
      <c r="A95" s="118"/>
      <c r="B95" s="117"/>
      <c r="C95" s="117">
        <v>22</v>
      </c>
      <c r="D95" s="14"/>
      <c r="E95" s="15"/>
      <c r="F95" s="15"/>
      <c r="G95" s="15"/>
      <c r="H95" s="15"/>
      <c r="I95" s="15"/>
      <c r="J95" s="16">
        <f t="shared" si="11"/>
        <v>0</v>
      </c>
      <c r="L95" s="14"/>
      <c r="M95" s="15"/>
      <c r="N95" s="15"/>
      <c r="O95" s="15"/>
      <c r="P95" s="15"/>
      <c r="Q95" s="15"/>
      <c r="R95" s="16">
        <f t="shared" si="10"/>
        <v>0</v>
      </c>
      <c r="S95" s="20"/>
      <c r="T95" s="21" t="e">
        <f>bdrate($D95:$D98,E95:E98,$L95:$L98,M95:M98)</f>
        <v>#VALUE!</v>
      </c>
      <c r="U95" s="22" t="e">
        <f>bdrate($D95:$D98,F95:F98,$L95:$L98,N95:N98)</f>
        <v>#VALUE!</v>
      </c>
      <c r="V95" s="22" t="e">
        <f>bdrate($D95:$D98,G95:G98,$L95:$L98,O95:O98)</f>
        <v>#VALUE!</v>
      </c>
      <c r="W95" s="44" t="e">
        <f>bdrateOld($D95:$D98,E95:E98,$L95:$L98,M95:M98)</f>
        <v>#VALUE!</v>
      </c>
      <c r="X95" s="45" t="e">
        <f>bdrateOld($D95:$D98,F95:F98,$L95:$L98,N95:N98)</f>
        <v>#VALUE!</v>
      </c>
      <c r="Y95" s="46" t="e">
        <f>bdrateOld($D95:$D98,G95:G98,$L95:$L98,O95:O98)</f>
        <v>#VALUE!</v>
      </c>
      <c r="Z95" s="122" t="e">
        <f t="shared" si="14"/>
        <v>#DIV/0!</v>
      </c>
      <c r="AA95" s="140" t="e">
        <f>AVERAGE(Z95:Z98)</f>
        <v>#DIV/0!</v>
      </c>
      <c r="AB95" s="125"/>
    </row>
    <row r="96" spans="1:28" x14ac:dyDescent="0.2">
      <c r="A96" s="118"/>
      <c r="B96" s="118"/>
      <c r="C96" s="118">
        <v>27</v>
      </c>
      <c r="D96" s="25"/>
      <c r="E96" s="26"/>
      <c r="F96" s="26"/>
      <c r="G96" s="26"/>
      <c r="H96" s="26"/>
      <c r="I96" s="26"/>
      <c r="J96" s="27">
        <f t="shared" si="11"/>
        <v>0</v>
      </c>
      <c r="L96" s="25"/>
      <c r="M96" s="26"/>
      <c r="N96" s="26"/>
      <c r="O96" s="26"/>
      <c r="P96" s="26"/>
      <c r="Q96" s="26"/>
      <c r="R96" s="27">
        <f t="shared" si="10"/>
        <v>0</v>
      </c>
      <c r="S96" s="20"/>
      <c r="T96" s="31"/>
      <c r="U96" s="32"/>
      <c r="V96" s="32"/>
      <c r="W96" s="31"/>
      <c r="X96" s="32"/>
      <c r="Y96" s="33"/>
      <c r="Z96" s="122" t="e">
        <f t="shared" si="14"/>
        <v>#DIV/0!</v>
      </c>
      <c r="AA96" s="33"/>
      <c r="AB96" s="125"/>
    </row>
    <row r="97" spans="1:28" x14ac:dyDescent="0.2">
      <c r="A97" s="118"/>
      <c r="B97" s="118"/>
      <c r="C97" s="118">
        <v>32</v>
      </c>
      <c r="D97" s="25"/>
      <c r="E97" s="26"/>
      <c r="F97" s="26"/>
      <c r="G97" s="26"/>
      <c r="H97" s="26"/>
      <c r="I97" s="26"/>
      <c r="J97" s="27">
        <f t="shared" si="11"/>
        <v>0</v>
      </c>
      <c r="L97" s="25"/>
      <c r="M97" s="26"/>
      <c r="N97" s="26"/>
      <c r="O97" s="26"/>
      <c r="P97" s="26"/>
      <c r="Q97" s="26"/>
      <c r="R97" s="27">
        <f t="shared" si="10"/>
        <v>0</v>
      </c>
      <c r="S97" s="20"/>
      <c r="T97" s="31"/>
      <c r="U97" s="32"/>
      <c r="V97" s="32"/>
      <c r="W97" s="31"/>
      <c r="X97" s="32"/>
      <c r="Y97" s="33"/>
      <c r="Z97" s="122" t="e">
        <f t="shared" si="14"/>
        <v>#DIV/0!</v>
      </c>
      <c r="AA97" s="33"/>
      <c r="AB97" s="125"/>
    </row>
    <row r="98" spans="1:28" ht="12.75" thickBot="1" x14ac:dyDescent="0.25">
      <c r="A98" s="119"/>
      <c r="B98" s="119"/>
      <c r="C98" s="119">
        <v>37</v>
      </c>
      <c r="D98" s="35"/>
      <c r="E98" s="36"/>
      <c r="F98" s="36"/>
      <c r="G98" s="36"/>
      <c r="H98" s="36"/>
      <c r="I98" s="36"/>
      <c r="J98" s="37">
        <f t="shared" si="11"/>
        <v>0</v>
      </c>
      <c r="L98" s="35"/>
      <c r="M98" s="36"/>
      <c r="N98" s="36"/>
      <c r="O98" s="36"/>
      <c r="P98" s="36"/>
      <c r="Q98" s="36"/>
      <c r="R98" s="37">
        <f t="shared" si="10"/>
        <v>0</v>
      </c>
      <c r="S98" s="20"/>
      <c r="T98" s="31"/>
      <c r="U98" s="32"/>
      <c r="V98" s="32"/>
      <c r="W98" s="31"/>
      <c r="X98" s="32"/>
      <c r="Y98" s="33"/>
      <c r="Z98" s="123" t="e">
        <f t="shared" si="14"/>
        <v>#DIV/0!</v>
      </c>
      <c r="AA98" s="43"/>
      <c r="AB98" s="125"/>
    </row>
    <row r="99" spans="1:28" x14ac:dyDescent="0.2">
      <c r="B99" s="1" t="s">
        <v>2</v>
      </c>
      <c r="T99" s="21" t="e">
        <f t="shared" ref="T99:Y99" si="15">AVERAGE(T3,T7,T11,T15)</f>
        <v>#VALUE!</v>
      </c>
      <c r="U99" s="22" t="e">
        <f t="shared" si="15"/>
        <v>#VALUE!</v>
      </c>
      <c r="V99" s="22" t="e">
        <f t="shared" si="15"/>
        <v>#VALUE!</v>
      </c>
      <c r="W99" s="21" t="e">
        <f t="shared" si="15"/>
        <v>#VALUE!</v>
      </c>
      <c r="X99" s="22" t="e">
        <f t="shared" si="15"/>
        <v>#VALUE!</v>
      </c>
      <c r="Y99" s="23" t="e">
        <f t="shared" si="15"/>
        <v>#VALUE!</v>
      </c>
      <c r="AB99" s="125"/>
    </row>
    <row r="100" spans="1:28" x14ac:dyDescent="0.2">
      <c r="B100" s="1" t="s">
        <v>7</v>
      </c>
      <c r="T100" s="44" t="e">
        <f t="shared" ref="T100:Y100" si="16">AVERAGE(T19,T23,T27,T31,T35)</f>
        <v>#VALUE!</v>
      </c>
      <c r="U100" s="45" t="e">
        <f t="shared" si="16"/>
        <v>#VALUE!</v>
      </c>
      <c r="V100" s="45" t="e">
        <f t="shared" si="16"/>
        <v>#VALUE!</v>
      </c>
      <c r="W100" s="44" t="e">
        <f t="shared" si="16"/>
        <v>#VALUE!</v>
      </c>
      <c r="X100" s="45" t="e">
        <f t="shared" si="16"/>
        <v>#VALUE!</v>
      </c>
      <c r="Y100" s="46" t="e">
        <f t="shared" si="16"/>
        <v>#VALUE!</v>
      </c>
      <c r="AB100" s="125"/>
    </row>
    <row r="101" spans="1:28" x14ac:dyDescent="0.2">
      <c r="B101" s="1" t="s">
        <v>14</v>
      </c>
      <c r="T101" s="44" t="e">
        <f t="shared" ref="T101:Y101" si="17">AVERAGE(T39,T43,T47,T51)</f>
        <v>#VALUE!</v>
      </c>
      <c r="U101" s="45" t="e">
        <f t="shared" si="17"/>
        <v>#VALUE!</v>
      </c>
      <c r="V101" s="45" t="e">
        <f t="shared" si="17"/>
        <v>#VALUE!</v>
      </c>
      <c r="W101" s="44" t="e">
        <f t="shared" si="17"/>
        <v>#VALUE!</v>
      </c>
      <c r="X101" s="45" t="e">
        <f t="shared" si="17"/>
        <v>#VALUE!</v>
      </c>
      <c r="Y101" s="46" t="e">
        <f t="shared" si="17"/>
        <v>#VALUE!</v>
      </c>
      <c r="AB101" s="125"/>
    </row>
    <row r="102" spans="1:28" x14ac:dyDescent="0.2">
      <c r="B102" s="1" t="s">
        <v>20</v>
      </c>
      <c r="T102" s="44" t="e">
        <f t="shared" ref="T102:Y102" si="18">AVERAGE(T55,T59,T63,T67)</f>
        <v>#VALUE!</v>
      </c>
      <c r="U102" s="45" t="e">
        <f t="shared" si="18"/>
        <v>#VALUE!</v>
      </c>
      <c r="V102" s="45" t="e">
        <f t="shared" si="18"/>
        <v>#VALUE!</v>
      </c>
      <c r="W102" s="44" t="e">
        <f t="shared" si="18"/>
        <v>#VALUE!</v>
      </c>
      <c r="X102" s="45" t="e">
        <f t="shared" si="18"/>
        <v>#VALUE!</v>
      </c>
      <c r="Y102" s="46" t="e">
        <f t="shared" si="18"/>
        <v>#VALUE!</v>
      </c>
      <c r="AB102" s="125"/>
    </row>
    <row r="103" spans="1:28" x14ac:dyDescent="0.2">
      <c r="B103" s="1" t="s">
        <v>27</v>
      </c>
      <c r="T103" s="44"/>
      <c r="U103" s="45"/>
      <c r="V103" s="45"/>
      <c r="W103" s="44"/>
      <c r="X103" s="45"/>
      <c r="Y103" s="46"/>
      <c r="AB103" s="125"/>
    </row>
    <row r="104" spans="1:28" ht="12.75" thickBot="1" x14ac:dyDescent="0.25">
      <c r="B104" s="1" t="s">
        <v>66</v>
      </c>
      <c r="T104" s="48" t="e">
        <f t="shared" ref="T104:Y104" si="19">AVERAGE(T83,T87,T91,T95)</f>
        <v>#VALUE!</v>
      </c>
      <c r="U104" s="49" t="e">
        <f t="shared" si="19"/>
        <v>#VALUE!</v>
      </c>
      <c r="V104" s="49" t="e">
        <f t="shared" si="19"/>
        <v>#VALUE!</v>
      </c>
      <c r="W104" s="48" t="e">
        <f t="shared" si="19"/>
        <v>#VALUE!</v>
      </c>
      <c r="X104" s="49" t="e">
        <f t="shared" si="19"/>
        <v>#VALUE!</v>
      </c>
      <c r="Y104" s="50" t="e">
        <f t="shared" si="19"/>
        <v>#VALUE!</v>
      </c>
      <c r="AB104" s="125"/>
    </row>
    <row r="105" spans="1:28" ht="12.75" thickBot="1" x14ac:dyDescent="0.25">
      <c r="A105" s="3"/>
      <c r="B105" s="4" t="s">
        <v>28</v>
      </c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1" t="e">
        <f t="shared" ref="T105:Y105" si="20">AVERAGE(T3:T98)</f>
        <v>#VALUE!</v>
      </c>
      <c r="U105" s="52" t="e">
        <f t="shared" si="20"/>
        <v>#VALUE!</v>
      </c>
      <c r="V105" s="53" t="e">
        <f t="shared" si="20"/>
        <v>#VALUE!</v>
      </c>
      <c r="W105" s="52" t="e">
        <f t="shared" si="20"/>
        <v>#VALUE!</v>
      </c>
      <c r="X105" s="52" t="e">
        <f t="shared" si="20"/>
        <v>#VALUE!</v>
      </c>
      <c r="Y105" s="53" t="e">
        <f t="shared" si="20"/>
        <v>#VALUE!</v>
      </c>
      <c r="AB105" s="125"/>
    </row>
    <row r="106" spans="1:28" x14ac:dyDescent="0.2">
      <c r="B106" s="1" t="s">
        <v>29</v>
      </c>
      <c r="I106" s="54" t="e">
        <f>GEOMEAN(I3:I98)</f>
        <v>#NUM!</v>
      </c>
      <c r="J106" s="54" t="e">
        <f>GEOMEAN(J3:J98)</f>
        <v>#NUM!</v>
      </c>
      <c r="Q106" s="54" t="e">
        <f>GEOMEAN(Q3:Q98)</f>
        <v>#NUM!</v>
      </c>
      <c r="R106" s="54" t="e">
        <f>GEOMEAN(R3:R98)</f>
        <v>#NUM!</v>
      </c>
      <c r="AB106" s="125"/>
    </row>
    <row r="107" spans="1:28" x14ac:dyDescent="0.2">
      <c r="B107" s="1" t="s">
        <v>30</v>
      </c>
      <c r="Q107" s="55" t="e">
        <f>Q106/I106</f>
        <v>#NUM!</v>
      </c>
      <c r="R107" s="55" t="e">
        <f>R106/J106</f>
        <v>#NUM!</v>
      </c>
      <c r="AB107" s="125"/>
    </row>
    <row r="108" spans="1:28" x14ac:dyDescent="0.2">
      <c r="B108" s="1" t="s">
        <v>31</v>
      </c>
      <c r="I108" s="54">
        <f>SUM(I3:I98)/3600</f>
        <v>0</v>
      </c>
      <c r="J108" s="54">
        <f>SUM(J3:J98)</f>
        <v>53.92122999999998</v>
      </c>
      <c r="Q108" s="54">
        <f>SUM(Q3:Q98)/3600</f>
        <v>0</v>
      </c>
      <c r="R108" s="54">
        <f>SUM(R3:R98)</f>
        <v>48.821449999999999</v>
      </c>
    </row>
    <row r="111" spans="1:28" ht="12.75" thickBot="1" x14ac:dyDescent="0.25">
      <c r="B111" s="1" t="s">
        <v>71</v>
      </c>
      <c r="T111" s="48">
        <f t="shared" ref="T111:Y111" si="21">AVERAGE(T3,T7)</f>
        <v>3.4678015218971847E-3</v>
      </c>
      <c r="U111" s="49">
        <f t="shared" si="21"/>
        <v>1.6798761510197213E-3</v>
      </c>
      <c r="V111" s="49">
        <f t="shared" si="21"/>
        <v>3.3435341848978561E-3</v>
      </c>
      <c r="W111" s="48">
        <f t="shared" si="21"/>
        <v>3.4743825016883001E-3</v>
      </c>
      <c r="X111" s="49">
        <f t="shared" si="21"/>
        <v>1.9350520123647685E-3</v>
      </c>
      <c r="Y111" s="50">
        <f t="shared" si="21"/>
        <v>3.8844379175521082E-3</v>
      </c>
    </row>
    <row r="112" spans="1:28" ht="12.75" thickBot="1" x14ac:dyDescent="0.25">
      <c r="A112" s="3"/>
      <c r="B112" s="4" t="s">
        <v>72</v>
      </c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48" t="e">
        <f t="shared" ref="T112:Y112" si="22">AVERAGE(T3,T7,T11,T15,T19,T23,T27,T31,T35,T39,T43,T47,T51,T55,T59,T63,T67,T71,T75,T79)</f>
        <v>#VALUE!</v>
      </c>
      <c r="U112" s="49" t="e">
        <f t="shared" si="22"/>
        <v>#VALUE!</v>
      </c>
      <c r="V112" s="50" t="e">
        <f t="shared" si="22"/>
        <v>#VALUE!</v>
      </c>
      <c r="W112" s="49" t="e">
        <f t="shared" si="22"/>
        <v>#VALUE!</v>
      </c>
      <c r="X112" s="49" t="e">
        <f t="shared" si="22"/>
        <v>#VALUE!</v>
      </c>
      <c r="Y112" s="50" t="e">
        <f t="shared" si="22"/>
        <v>#VALUE!</v>
      </c>
    </row>
    <row r="113" spans="2:18" x14ac:dyDescent="0.2">
      <c r="B113" s="1" t="s">
        <v>29</v>
      </c>
      <c r="I113" s="54" t="e">
        <f>GEOMEAN(I3:I70)</f>
        <v>#NUM!</v>
      </c>
      <c r="J113" s="54" t="e">
        <f>GEOMEAN(J3:J70)</f>
        <v>#NUM!</v>
      </c>
      <c r="Q113" s="54" t="e">
        <f>GEOMEAN(Q3:Q70)</f>
        <v>#NUM!</v>
      </c>
      <c r="R113" s="54" t="e">
        <f>GEOMEAN(R3:R70)</f>
        <v>#NUM!</v>
      </c>
    </row>
    <row r="114" spans="2:18" x14ac:dyDescent="0.2">
      <c r="B114" s="1" t="s">
        <v>30</v>
      </c>
      <c r="Q114" s="55" t="e">
        <f>Q113/I113</f>
        <v>#NUM!</v>
      </c>
      <c r="R114" s="55" t="e">
        <f>R113/J113</f>
        <v>#NUM!</v>
      </c>
    </row>
  </sheetData>
  <mergeCells count="4">
    <mergeCell ref="D1:J1"/>
    <mergeCell ref="L1:R1"/>
    <mergeCell ref="T1:V1"/>
    <mergeCell ref="W1:Y1"/>
  </mergeCells>
  <phoneticPr fontId="2" type="noConversion"/>
  <conditionalFormatting sqref="T3:V70">
    <cfRule type="cellIs" dxfId="1499" priority="227" operator="greaterThan">
      <formula>0.03</formula>
    </cfRule>
    <cfRule type="cellIs" dxfId="1498" priority="228" stopIfTrue="1" operator="lessThan">
      <formula>-0.03</formula>
    </cfRule>
  </conditionalFormatting>
  <conditionalFormatting sqref="W3">
    <cfRule type="cellIs" dxfId="1497" priority="225" operator="greaterThan">
      <formula>0.03</formula>
    </cfRule>
    <cfRule type="cellIs" dxfId="1496" priority="226" stopIfTrue="1" operator="lessThan">
      <formula>-0.03</formula>
    </cfRule>
  </conditionalFormatting>
  <conditionalFormatting sqref="X3">
    <cfRule type="cellIs" dxfId="1495" priority="223" operator="greaterThan">
      <formula>0.03</formula>
    </cfRule>
    <cfRule type="cellIs" dxfId="1494" priority="224" stopIfTrue="1" operator="lessThan">
      <formula>-0.03</formula>
    </cfRule>
  </conditionalFormatting>
  <conditionalFormatting sqref="Y3">
    <cfRule type="cellIs" dxfId="1493" priority="221" operator="greaterThan">
      <formula>0.03</formula>
    </cfRule>
    <cfRule type="cellIs" dxfId="1492" priority="222" stopIfTrue="1" operator="lessThan">
      <formula>-0.03</formula>
    </cfRule>
  </conditionalFormatting>
  <conditionalFormatting sqref="W7">
    <cfRule type="cellIs" dxfId="1491" priority="219" operator="greaterThan">
      <formula>0.03</formula>
    </cfRule>
    <cfRule type="cellIs" dxfId="1490" priority="220" stopIfTrue="1" operator="lessThan">
      <formula>-0.03</formula>
    </cfRule>
  </conditionalFormatting>
  <conditionalFormatting sqref="X7">
    <cfRule type="cellIs" dxfId="1489" priority="217" operator="greaterThan">
      <formula>0.03</formula>
    </cfRule>
    <cfRule type="cellIs" dxfId="1488" priority="218" stopIfTrue="1" operator="lessThan">
      <formula>-0.03</formula>
    </cfRule>
  </conditionalFormatting>
  <conditionalFormatting sqref="Y7">
    <cfRule type="cellIs" dxfId="1487" priority="215" operator="greaterThan">
      <formula>0.03</formula>
    </cfRule>
    <cfRule type="cellIs" dxfId="1486" priority="216" stopIfTrue="1" operator="lessThan">
      <formula>-0.03</formula>
    </cfRule>
  </conditionalFormatting>
  <conditionalFormatting sqref="W11">
    <cfRule type="cellIs" dxfId="1485" priority="213" operator="greaterThan">
      <formula>0.03</formula>
    </cfRule>
    <cfRule type="cellIs" dxfId="1484" priority="214" stopIfTrue="1" operator="lessThan">
      <formula>-0.03</formula>
    </cfRule>
  </conditionalFormatting>
  <conditionalFormatting sqref="X11">
    <cfRule type="cellIs" dxfId="1483" priority="211" operator="greaterThan">
      <formula>0.03</formula>
    </cfRule>
    <cfRule type="cellIs" dxfId="1482" priority="212" stopIfTrue="1" operator="lessThan">
      <formula>-0.03</formula>
    </cfRule>
  </conditionalFormatting>
  <conditionalFormatting sqref="Y11">
    <cfRule type="cellIs" dxfId="1481" priority="209" operator="greaterThan">
      <formula>0.03</formula>
    </cfRule>
    <cfRule type="cellIs" dxfId="1480" priority="210" stopIfTrue="1" operator="lessThan">
      <formula>-0.03</formula>
    </cfRule>
  </conditionalFormatting>
  <conditionalFormatting sqref="W15">
    <cfRule type="cellIs" dxfId="1479" priority="207" operator="greaterThan">
      <formula>0.03</formula>
    </cfRule>
    <cfRule type="cellIs" dxfId="1478" priority="208" stopIfTrue="1" operator="lessThan">
      <formula>-0.03</formula>
    </cfRule>
  </conditionalFormatting>
  <conditionalFormatting sqref="X15">
    <cfRule type="cellIs" dxfId="1477" priority="205" operator="greaterThan">
      <formula>0.03</formula>
    </cfRule>
    <cfRule type="cellIs" dxfId="1476" priority="206" stopIfTrue="1" operator="lessThan">
      <formula>-0.03</formula>
    </cfRule>
  </conditionalFormatting>
  <conditionalFormatting sqref="Y15">
    <cfRule type="cellIs" dxfId="1475" priority="203" operator="greaterThan">
      <formula>0.03</formula>
    </cfRule>
    <cfRule type="cellIs" dxfId="1474" priority="204" stopIfTrue="1" operator="lessThan">
      <formula>-0.03</formula>
    </cfRule>
  </conditionalFormatting>
  <conditionalFormatting sqref="W19">
    <cfRule type="cellIs" dxfId="1473" priority="201" operator="greaterThan">
      <formula>0.03</formula>
    </cfRule>
    <cfRule type="cellIs" dxfId="1472" priority="202" stopIfTrue="1" operator="lessThan">
      <formula>-0.03</formula>
    </cfRule>
  </conditionalFormatting>
  <conditionalFormatting sqref="X19">
    <cfRule type="cellIs" dxfId="1471" priority="199" operator="greaterThan">
      <formula>0.03</formula>
    </cfRule>
    <cfRule type="cellIs" dxfId="1470" priority="200" stopIfTrue="1" operator="lessThan">
      <formula>-0.03</formula>
    </cfRule>
  </conditionalFormatting>
  <conditionalFormatting sqref="Y19">
    <cfRule type="cellIs" dxfId="1469" priority="197" operator="greaterThan">
      <formula>0.03</formula>
    </cfRule>
    <cfRule type="cellIs" dxfId="1468" priority="198" stopIfTrue="1" operator="lessThan">
      <formula>-0.03</formula>
    </cfRule>
  </conditionalFormatting>
  <conditionalFormatting sqref="W23">
    <cfRule type="cellIs" dxfId="1467" priority="195" operator="greaterThan">
      <formula>0.03</formula>
    </cfRule>
    <cfRule type="cellIs" dxfId="1466" priority="196" stopIfTrue="1" operator="lessThan">
      <formula>-0.03</formula>
    </cfRule>
  </conditionalFormatting>
  <conditionalFormatting sqref="X23">
    <cfRule type="cellIs" dxfId="1465" priority="193" operator="greaterThan">
      <formula>0.03</formula>
    </cfRule>
    <cfRule type="cellIs" dxfId="1464" priority="194" stopIfTrue="1" operator="lessThan">
      <formula>-0.03</formula>
    </cfRule>
  </conditionalFormatting>
  <conditionalFormatting sqref="Y23">
    <cfRule type="cellIs" dxfId="1463" priority="191" operator="greaterThan">
      <formula>0.03</formula>
    </cfRule>
    <cfRule type="cellIs" dxfId="1462" priority="192" stopIfTrue="1" operator="lessThan">
      <formula>-0.03</formula>
    </cfRule>
  </conditionalFormatting>
  <conditionalFormatting sqref="W27">
    <cfRule type="cellIs" dxfId="1461" priority="189" operator="greaterThan">
      <formula>0.03</formula>
    </cfRule>
    <cfRule type="cellIs" dxfId="1460" priority="190" stopIfTrue="1" operator="lessThan">
      <formula>-0.03</formula>
    </cfRule>
  </conditionalFormatting>
  <conditionalFormatting sqref="X27">
    <cfRule type="cellIs" dxfId="1459" priority="187" operator="greaterThan">
      <formula>0.03</formula>
    </cfRule>
    <cfRule type="cellIs" dxfId="1458" priority="188" stopIfTrue="1" operator="lessThan">
      <formula>-0.03</formula>
    </cfRule>
  </conditionalFormatting>
  <conditionalFormatting sqref="Y27">
    <cfRule type="cellIs" dxfId="1457" priority="185" operator="greaterThan">
      <formula>0.03</formula>
    </cfRule>
    <cfRule type="cellIs" dxfId="1456" priority="186" stopIfTrue="1" operator="lessThan">
      <formula>-0.03</formula>
    </cfRule>
  </conditionalFormatting>
  <conditionalFormatting sqref="W31">
    <cfRule type="cellIs" dxfId="1455" priority="183" operator="greaterThan">
      <formula>0.03</formula>
    </cfRule>
    <cfRule type="cellIs" dxfId="1454" priority="184" stopIfTrue="1" operator="lessThan">
      <formula>-0.03</formula>
    </cfRule>
  </conditionalFormatting>
  <conditionalFormatting sqref="X31">
    <cfRule type="cellIs" dxfId="1453" priority="181" operator="greaterThan">
      <formula>0.03</formula>
    </cfRule>
    <cfRule type="cellIs" dxfId="1452" priority="182" stopIfTrue="1" operator="lessThan">
      <formula>-0.03</formula>
    </cfRule>
  </conditionalFormatting>
  <conditionalFormatting sqref="Y31">
    <cfRule type="cellIs" dxfId="1451" priority="179" operator="greaterThan">
      <formula>0.03</formula>
    </cfRule>
    <cfRule type="cellIs" dxfId="1450" priority="180" stopIfTrue="1" operator="lessThan">
      <formula>-0.03</formula>
    </cfRule>
  </conditionalFormatting>
  <conditionalFormatting sqref="W35">
    <cfRule type="cellIs" dxfId="1449" priority="177" operator="greaterThan">
      <formula>0.03</formula>
    </cfRule>
    <cfRule type="cellIs" dxfId="1448" priority="178" stopIfTrue="1" operator="lessThan">
      <formula>-0.03</formula>
    </cfRule>
  </conditionalFormatting>
  <conditionalFormatting sqref="X35">
    <cfRule type="cellIs" dxfId="1447" priority="175" operator="greaterThan">
      <formula>0.03</formula>
    </cfRule>
    <cfRule type="cellIs" dxfId="1446" priority="176" stopIfTrue="1" operator="lessThan">
      <formula>-0.03</formula>
    </cfRule>
  </conditionalFormatting>
  <conditionalFormatting sqref="Y35">
    <cfRule type="cellIs" dxfId="1445" priority="173" operator="greaterThan">
      <formula>0.03</formula>
    </cfRule>
    <cfRule type="cellIs" dxfId="1444" priority="174" stopIfTrue="1" operator="lessThan">
      <formula>-0.03</formula>
    </cfRule>
  </conditionalFormatting>
  <conditionalFormatting sqref="W39">
    <cfRule type="cellIs" dxfId="1443" priority="171" operator="greaterThan">
      <formula>0.03</formula>
    </cfRule>
    <cfRule type="cellIs" dxfId="1442" priority="172" stopIfTrue="1" operator="lessThan">
      <formula>-0.03</formula>
    </cfRule>
  </conditionalFormatting>
  <conditionalFormatting sqref="X39">
    <cfRule type="cellIs" dxfId="1441" priority="169" operator="greaterThan">
      <formula>0.03</formula>
    </cfRule>
    <cfRule type="cellIs" dxfId="1440" priority="170" stopIfTrue="1" operator="lessThan">
      <formula>-0.03</formula>
    </cfRule>
  </conditionalFormatting>
  <conditionalFormatting sqref="Y39">
    <cfRule type="cellIs" dxfId="1439" priority="167" operator="greaterThan">
      <formula>0.03</formula>
    </cfRule>
    <cfRule type="cellIs" dxfId="1438" priority="168" stopIfTrue="1" operator="lessThan">
      <formula>-0.03</formula>
    </cfRule>
  </conditionalFormatting>
  <conditionalFormatting sqref="W43">
    <cfRule type="cellIs" dxfId="1437" priority="165" operator="greaterThan">
      <formula>0.03</formula>
    </cfRule>
    <cfRule type="cellIs" dxfId="1436" priority="166" stopIfTrue="1" operator="lessThan">
      <formula>-0.03</formula>
    </cfRule>
  </conditionalFormatting>
  <conditionalFormatting sqref="X43">
    <cfRule type="cellIs" dxfId="1435" priority="163" operator="greaterThan">
      <formula>0.03</formula>
    </cfRule>
    <cfRule type="cellIs" dxfId="1434" priority="164" stopIfTrue="1" operator="lessThan">
      <formula>-0.03</formula>
    </cfRule>
  </conditionalFormatting>
  <conditionalFormatting sqref="Y43">
    <cfRule type="cellIs" dxfId="1433" priority="161" operator="greaterThan">
      <formula>0.03</formula>
    </cfRule>
    <cfRule type="cellIs" dxfId="1432" priority="162" stopIfTrue="1" operator="lessThan">
      <formula>-0.03</formula>
    </cfRule>
  </conditionalFormatting>
  <conditionalFormatting sqref="W47">
    <cfRule type="cellIs" dxfId="1431" priority="159" operator="greaterThan">
      <formula>0.03</formula>
    </cfRule>
    <cfRule type="cellIs" dxfId="1430" priority="160" stopIfTrue="1" operator="lessThan">
      <formula>-0.03</formula>
    </cfRule>
  </conditionalFormatting>
  <conditionalFormatting sqref="X47">
    <cfRule type="cellIs" dxfId="1429" priority="157" operator="greaterThan">
      <formula>0.03</formula>
    </cfRule>
    <cfRule type="cellIs" dxfId="1428" priority="158" stopIfTrue="1" operator="lessThan">
      <formula>-0.03</formula>
    </cfRule>
  </conditionalFormatting>
  <conditionalFormatting sqref="Y47">
    <cfRule type="cellIs" dxfId="1427" priority="155" operator="greaterThan">
      <formula>0.03</formula>
    </cfRule>
    <cfRule type="cellIs" dxfId="1426" priority="156" stopIfTrue="1" operator="lessThan">
      <formula>-0.03</formula>
    </cfRule>
  </conditionalFormatting>
  <conditionalFormatting sqref="W51">
    <cfRule type="cellIs" dxfId="1425" priority="153" operator="greaterThan">
      <formula>0.03</formula>
    </cfRule>
    <cfRule type="cellIs" dxfId="1424" priority="154" stopIfTrue="1" operator="lessThan">
      <formula>-0.03</formula>
    </cfRule>
  </conditionalFormatting>
  <conditionalFormatting sqref="X51">
    <cfRule type="cellIs" dxfId="1423" priority="151" operator="greaterThan">
      <formula>0.03</formula>
    </cfRule>
    <cfRule type="cellIs" dxfId="1422" priority="152" stopIfTrue="1" operator="lessThan">
      <formula>-0.03</formula>
    </cfRule>
  </conditionalFormatting>
  <conditionalFormatting sqref="Y51">
    <cfRule type="cellIs" dxfId="1421" priority="149" operator="greaterThan">
      <formula>0.03</formula>
    </cfRule>
    <cfRule type="cellIs" dxfId="1420" priority="150" stopIfTrue="1" operator="lessThan">
      <formula>-0.03</formula>
    </cfRule>
  </conditionalFormatting>
  <conditionalFormatting sqref="W55">
    <cfRule type="cellIs" dxfId="1419" priority="147" operator="greaterThan">
      <formula>0.03</formula>
    </cfRule>
    <cfRule type="cellIs" dxfId="1418" priority="148" stopIfTrue="1" operator="lessThan">
      <formula>-0.03</formula>
    </cfRule>
  </conditionalFormatting>
  <conditionalFormatting sqref="X55">
    <cfRule type="cellIs" dxfId="1417" priority="145" operator="greaterThan">
      <formula>0.03</formula>
    </cfRule>
    <cfRule type="cellIs" dxfId="1416" priority="146" stopIfTrue="1" operator="lessThan">
      <formula>-0.03</formula>
    </cfRule>
  </conditionalFormatting>
  <conditionalFormatting sqref="Y55">
    <cfRule type="cellIs" dxfId="1415" priority="143" operator="greaterThan">
      <formula>0.03</formula>
    </cfRule>
    <cfRule type="cellIs" dxfId="1414" priority="144" stopIfTrue="1" operator="lessThan">
      <formula>-0.03</formula>
    </cfRule>
  </conditionalFormatting>
  <conditionalFormatting sqref="W59">
    <cfRule type="cellIs" dxfId="1413" priority="141" operator="greaterThan">
      <formula>0.03</formula>
    </cfRule>
    <cfRule type="cellIs" dxfId="1412" priority="142" stopIfTrue="1" operator="lessThan">
      <formula>-0.03</formula>
    </cfRule>
  </conditionalFormatting>
  <conditionalFormatting sqref="X59">
    <cfRule type="cellIs" dxfId="1411" priority="139" operator="greaterThan">
      <formula>0.03</formula>
    </cfRule>
    <cfRule type="cellIs" dxfId="1410" priority="140" stopIfTrue="1" operator="lessThan">
      <formula>-0.03</formula>
    </cfRule>
  </conditionalFormatting>
  <conditionalFormatting sqref="Y59">
    <cfRule type="cellIs" dxfId="1409" priority="137" operator="greaterThan">
      <formula>0.03</formula>
    </cfRule>
    <cfRule type="cellIs" dxfId="1408" priority="138" stopIfTrue="1" operator="lessThan">
      <formula>-0.03</formula>
    </cfRule>
  </conditionalFormatting>
  <conditionalFormatting sqref="W63">
    <cfRule type="cellIs" dxfId="1407" priority="135" operator="greaterThan">
      <formula>0.03</formula>
    </cfRule>
    <cfRule type="cellIs" dxfId="1406" priority="136" stopIfTrue="1" operator="lessThan">
      <formula>-0.03</formula>
    </cfRule>
  </conditionalFormatting>
  <conditionalFormatting sqref="X63">
    <cfRule type="cellIs" dxfId="1405" priority="133" operator="greaterThan">
      <formula>0.03</formula>
    </cfRule>
    <cfRule type="cellIs" dxfId="1404" priority="134" stopIfTrue="1" operator="lessThan">
      <formula>-0.03</formula>
    </cfRule>
  </conditionalFormatting>
  <conditionalFormatting sqref="Y63">
    <cfRule type="cellIs" dxfId="1403" priority="131" operator="greaterThan">
      <formula>0.03</formula>
    </cfRule>
    <cfRule type="cellIs" dxfId="1402" priority="132" stopIfTrue="1" operator="lessThan">
      <formula>-0.03</formula>
    </cfRule>
  </conditionalFormatting>
  <conditionalFormatting sqref="W67">
    <cfRule type="cellIs" dxfId="1401" priority="129" operator="greaterThan">
      <formula>0.03</formula>
    </cfRule>
    <cfRule type="cellIs" dxfId="1400" priority="130" stopIfTrue="1" operator="lessThan">
      <formula>-0.03</formula>
    </cfRule>
  </conditionalFormatting>
  <conditionalFormatting sqref="X67">
    <cfRule type="cellIs" dxfId="1399" priority="127" operator="greaterThan">
      <formula>0.03</formula>
    </cfRule>
    <cfRule type="cellIs" dxfId="1398" priority="128" stopIfTrue="1" operator="lessThan">
      <formula>-0.03</formula>
    </cfRule>
  </conditionalFormatting>
  <conditionalFormatting sqref="Y67">
    <cfRule type="cellIs" dxfId="1397" priority="125" operator="greaterThan">
      <formula>0.03</formula>
    </cfRule>
    <cfRule type="cellIs" dxfId="1396" priority="126" stopIfTrue="1" operator="lessThan">
      <formula>-0.03</formula>
    </cfRule>
  </conditionalFormatting>
  <conditionalFormatting sqref="W6:X6">
    <cfRule type="cellIs" dxfId="1395" priority="123" operator="greaterThan">
      <formula>0.03</formula>
    </cfRule>
    <cfRule type="cellIs" dxfId="1394" priority="124" stopIfTrue="1" operator="lessThan">
      <formula>-0.03</formula>
    </cfRule>
  </conditionalFormatting>
  <conditionalFormatting sqref="W10:X10">
    <cfRule type="cellIs" dxfId="1393" priority="121" operator="greaterThan">
      <formula>0.03</formula>
    </cfRule>
    <cfRule type="cellIs" dxfId="1392" priority="122" stopIfTrue="1" operator="lessThan">
      <formula>-0.03</formula>
    </cfRule>
  </conditionalFormatting>
  <conditionalFormatting sqref="W14:X14">
    <cfRule type="cellIs" dxfId="1391" priority="119" operator="greaterThan">
      <formula>0.03</formula>
    </cfRule>
    <cfRule type="cellIs" dxfId="1390" priority="120" stopIfTrue="1" operator="lessThan">
      <formula>-0.03</formula>
    </cfRule>
  </conditionalFormatting>
  <conditionalFormatting sqref="W18:X18">
    <cfRule type="cellIs" dxfId="1389" priority="117" operator="greaterThan">
      <formula>0.03</formula>
    </cfRule>
    <cfRule type="cellIs" dxfId="1388" priority="118" stopIfTrue="1" operator="lessThan">
      <formula>-0.03</formula>
    </cfRule>
  </conditionalFormatting>
  <conditionalFormatting sqref="W22:X22">
    <cfRule type="cellIs" dxfId="1387" priority="115" operator="greaterThan">
      <formula>0.03</formula>
    </cfRule>
    <cfRule type="cellIs" dxfId="1386" priority="116" stopIfTrue="1" operator="lessThan">
      <formula>-0.03</formula>
    </cfRule>
  </conditionalFormatting>
  <conditionalFormatting sqref="W26:X26">
    <cfRule type="cellIs" dxfId="1385" priority="113" operator="greaterThan">
      <formula>0.03</formula>
    </cfRule>
    <cfRule type="cellIs" dxfId="1384" priority="114" stopIfTrue="1" operator="lessThan">
      <formula>-0.03</formula>
    </cfRule>
  </conditionalFormatting>
  <conditionalFormatting sqref="W30:X30">
    <cfRule type="cellIs" dxfId="1383" priority="111" operator="greaterThan">
      <formula>0.03</formula>
    </cfRule>
    <cfRule type="cellIs" dxfId="1382" priority="112" stopIfTrue="1" operator="lessThan">
      <formula>-0.03</formula>
    </cfRule>
  </conditionalFormatting>
  <conditionalFormatting sqref="W34:X34">
    <cfRule type="cellIs" dxfId="1381" priority="109" operator="greaterThan">
      <formula>0.03</formula>
    </cfRule>
    <cfRule type="cellIs" dxfId="1380" priority="110" stopIfTrue="1" operator="lessThan">
      <formula>-0.03</formula>
    </cfRule>
  </conditionalFormatting>
  <conditionalFormatting sqref="W38:X38">
    <cfRule type="cellIs" dxfId="1379" priority="107" operator="greaterThan">
      <formula>0.03</formula>
    </cfRule>
    <cfRule type="cellIs" dxfId="1378" priority="108" stopIfTrue="1" operator="lessThan">
      <formula>-0.03</formula>
    </cfRule>
  </conditionalFormatting>
  <conditionalFormatting sqref="W42:X42">
    <cfRule type="cellIs" dxfId="1377" priority="105" operator="greaterThan">
      <formula>0.03</formula>
    </cfRule>
    <cfRule type="cellIs" dxfId="1376" priority="106" stopIfTrue="1" operator="lessThan">
      <formula>-0.03</formula>
    </cfRule>
  </conditionalFormatting>
  <conditionalFormatting sqref="W46:X46">
    <cfRule type="cellIs" dxfId="1375" priority="103" operator="greaterThan">
      <formula>0.03</formula>
    </cfRule>
    <cfRule type="cellIs" dxfId="1374" priority="104" stopIfTrue="1" operator="lessThan">
      <formula>-0.03</formula>
    </cfRule>
  </conditionalFormatting>
  <conditionalFormatting sqref="W50:X50">
    <cfRule type="cellIs" dxfId="1373" priority="101" operator="greaterThan">
      <formula>0.03</formula>
    </cfRule>
    <cfRule type="cellIs" dxfId="1372" priority="102" stopIfTrue="1" operator="lessThan">
      <formula>-0.03</formula>
    </cfRule>
  </conditionalFormatting>
  <conditionalFormatting sqref="W54:X54">
    <cfRule type="cellIs" dxfId="1371" priority="99" operator="greaterThan">
      <formula>0.03</formula>
    </cfRule>
    <cfRule type="cellIs" dxfId="1370" priority="100" stopIfTrue="1" operator="lessThan">
      <formula>-0.03</formula>
    </cfRule>
  </conditionalFormatting>
  <conditionalFormatting sqref="W58:X58">
    <cfRule type="cellIs" dxfId="1369" priority="97" operator="greaterThan">
      <formula>0.03</formula>
    </cfRule>
    <cfRule type="cellIs" dxfId="1368" priority="98" stopIfTrue="1" operator="lessThan">
      <formula>-0.03</formula>
    </cfRule>
  </conditionalFormatting>
  <conditionalFormatting sqref="W62:X62">
    <cfRule type="cellIs" dxfId="1367" priority="95" operator="greaterThan">
      <formula>0.03</formula>
    </cfRule>
    <cfRule type="cellIs" dxfId="1366" priority="96" stopIfTrue="1" operator="lessThan">
      <formula>-0.03</formula>
    </cfRule>
  </conditionalFormatting>
  <conditionalFormatting sqref="W66:X66">
    <cfRule type="cellIs" dxfId="1365" priority="93" operator="greaterThan">
      <formula>0.03</formula>
    </cfRule>
    <cfRule type="cellIs" dxfId="1364" priority="94" stopIfTrue="1" operator="lessThan">
      <formula>-0.03</formula>
    </cfRule>
  </conditionalFormatting>
  <conditionalFormatting sqref="W70:X70">
    <cfRule type="cellIs" dxfId="1363" priority="91" operator="greaterThan">
      <formula>0.03</formula>
    </cfRule>
    <cfRule type="cellIs" dxfId="1362" priority="92" stopIfTrue="1" operator="lessThan">
      <formula>-0.03</formula>
    </cfRule>
  </conditionalFormatting>
  <conditionalFormatting sqref="T83:V98">
    <cfRule type="cellIs" dxfId="1361" priority="87" operator="greaterThan">
      <formula>0.03</formula>
    </cfRule>
    <cfRule type="cellIs" dxfId="1360" priority="88" stopIfTrue="1" operator="lessThan">
      <formula>-0.03</formula>
    </cfRule>
  </conditionalFormatting>
  <conditionalFormatting sqref="W83">
    <cfRule type="cellIs" dxfId="1359" priority="85" operator="greaterThan">
      <formula>0.03</formula>
    </cfRule>
    <cfRule type="cellIs" dxfId="1358" priority="86" stopIfTrue="1" operator="lessThan">
      <formula>-0.03</formula>
    </cfRule>
  </conditionalFormatting>
  <conditionalFormatting sqref="X83">
    <cfRule type="cellIs" dxfId="1357" priority="83" operator="greaterThan">
      <formula>0.03</formula>
    </cfRule>
    <cfRule type="cellIs" dxfId="1356" priority="84" stopIfTrue="1" operator="lessThan">
      <formula>-0.03</formula>
    </cfRule>
  </conditionalFormatting>
  <conditionalFormatting sqref="Y83">
    <cfRule type="cellIs" dxfId="1355" priority="81" operator="greaterThan">
      <formula>0.03</formula>
    </cfRule>
    <cfRule type="cellIs" dxfId="1354" priority="82" stopIfTrue="1" operator="lessThan">
      <formula>-0.03</formula>
    </cfRule>
  </conditionalFormatting>
  <conditionalFormatting sqref="W87">
    <cfRule type="cellIs" dxfId="1353" priority="79" operator="greaterThan">
      <formula>0.03</formula>
    </cfRule>
    <cfRule type="cellIs" dxfId="1352" priority="80" stopIfTrue="1" operator="lessThan">
      <formula>-0.03</formula>
    </cfRule>
  </conditionalFormatting>
  <conditionalFormatting sqref="X87">
    <cfRule type="cellIs" dxfId="1351" priority="77" operator="greaterThan">
      <formula>0.03</formula>
    </cfRule>
    <cfRule type="cellIs" dxfId="1350" priority="78" stopIfTrue="1" operator="lessThan">
      <formula>-0.03</formula>
    </cfRule>
  </conditionalFormatting>
  <conditionalFormatting sqref="Y87">
    <cfRule type="cellIs" dxfId="1349" priority="75" operator="greaterThan">
      <formula>0.03</formula>
    </cfRule>
    <cfRule type="cellIs" dxfId="1348" priority="76" stopIfTrue="1" operator="lessThan">
      <formula>-0.03</formula>
    </cfRule>
  </conditionalFormatting>
  <conditionalFormatting sqref="W91">
    <cfRule type="cellIs" dxfId="1347" priority="73" operator="greaterThan">
      <formula>0.03</formula>
    </cfRule>
    <cfRule type="cellIs" dxfId="1346" priority="74" stopIfTrue="1" operator="lessThan">
      <formula>-0.03</formula>
    </cfRule>
  </conditionalFormatting>
  <conditionalFormatting sqref="X91">
    <cfRule type="cellIs" dxfId="1345" priority="71" operator="greaterThan">
      <formula>0.03</formula>
    </cfRule>
    <cfRule type="cellIs" dxfId="1344" priority="72" stopIfTrue="1" operator="lessThan">
      <formula>-0.03</formula>
    </cfRule>
  </conditionalFormatting>
  <conditionalFormatting sqref="Y91">
    <cfRule type="cellIs" dxfId="1343" priority="69" operator="greaterThan">
      <formula>0.03</formula>
    </cfRule>
    <cfRule type="cellIs" dxfId="1342" priority="70" stopIfTrue="1" operator="lessThan">
      <formula>-0.03</formula>
    </cfRule>
  </conditionalFormatting>
  <conditionalFormatting sqref="W95">
    <cfRule type="cellIs" dxfId="1341" priority="67" operator="greaterThan">
      <formula>0.03</formula>
    </cfRule>
    <cfRule type="cellIs" dxfId="1340" priority="68" stopIfTrue="1" operator="lessThan">
      <formula>-0.03</formula>
    </cfRule>
  </conditionalFormatting>
  <conditionalFormatting sqref="X95">
    <cfRule type="cellIs" dxfId="1339" priority="65" operator="greaterThan">
      <formula>0.03</formula>
    </cfRule>
    <cfRule type="cellIs" dxfId="1338" priority="66" stopIfTrue="1" operator="lessThan">
      <formula>-0.03</formula>
    </cfRule>
  </conditionalFormatting>
  <conditionalFormatting sqref="Y95">
    <cfRule type="cellIs" dxfId="1337" priority="63" operator="greaterThan">
      <formula>0.03</formula>
    </cfRule>
    <cfRule type="cellIs" dxfId="1336" priority="64" stopIfTrue="1" operator="lessThan">
      <formula>-0.03</formula>
    </cfRule>
  </conditionalFormatting>
  <conditionalFormatting sqref="W86:X86">
    <cfRule type="cellIs" dxfId="1335" priority="61" operator="greaterThan">
      <formula>0.03</formula>
    </cfRule>
    <cfRule type="cellIs" dxfId="1334" priority="62" stopIfTrue="1" operator="lessThan">
      <formula>-0.03</formula>
    </cfRule>
  </conditionalFormatting>
  <conditionalFormatting sqref="W90:X90">
    <cfRule type="cellIs" dxfId="1333" priority="59" operator="greaterThan">
      <formula>0.03</formula>
    </cfRule>
    <cfRule type="cellIs" dxfId="1332" priority="60" stopIfTrue="1" operator="lessThan">
      <formula>-0.03</formula>
    </cfRule>
  </conditionalFormatting>
  <conditionalFormatting sqref="W94:X94">
    <cfRule type="cellIs" dxfId="1331" priority="57" operator="greaterThan">
      <formula>0.03</formula>
    </cfRule>
    <cfRule type="cellIs" dxfId="1330" priority="58" stopIfTrue="1" operator="lessThan">
      <formula>-0.03</formula>
    </cfRule>
  </conditionalFormatting>
  <conditionalFormatting sqref="W98:X98">
    <cfRule type="cellIs" dxfId="1329" priority="55" operator="greaterThan">
      <formula>0.03</formula>
    </cfRule>
    <cfRule type="cellIs" dxfId="1328" priority="56" stopIfTrue="1" operator="lessThan">
      <formula>-0.03</formula>
    </cfRule>
  </conditionalFormatting>
  <conditionalFormatting sqref="T105:V105">
    <cfRule type="cellIs" dxfId="1327" priority="53" operator="greaterThan">
      <formula>0.03</formula>
    </cfRule>
    <cfRule type="cellIs" dxfId="1326" priority="54" stopIfTrue="1" operator="lessThan">
      <formula>-0.03</formula>
    </cfRule>
  </conditionalFormatting>
  <conditionalFormatting sqref="W105:Y105">
    <cfRule type="cellIs" dxfId="1325" priority="51" operator="greaterThan">
      <formula>0.03</formula>
    </cfRule>
    <cfRule type="cellIs" dxfId="1324" priority="52" stopIfTrue="1" operator="lessThan">
      <formula>-0.03</formula>
    </cfRule>
  </conditionalFormatting>
  <conditionalFormatting sqref="T99:V104">
    <cfRule type="cellIs" dxfId="1323" priority="49" operator="greaterThan">
      <formula>0.03</formula>
    </cfRule>
    <cfRule type="cellIs" dxfId="1322" priority="50" stopIfTrue="1" operator="lessThan">
      <formula>-0.03</formula>
    </cfRule>
  </conditionalFormatting>
  <conditionalFormatting sqref="W99:Y103">
    <cfRule type="cellIs" dxfId="1321" priority="47" operator="greaterThan">
      <formula>0.03</formula>
    </cfRule>
    <cfRule type="cellIs" dxfId="1320" priority="48" stopIfTrue="1" operator="lessThan">
      <formula>-0.03</formula>
    </cfRule>
  </conditionalFormatting>
  <conditionalFormatting sqref="W104">
    <cfRule type="cellIs" dxfId="1319" priority="45" operator="greaterThan">
      <formula>0.03</formula>
    </cfRule>
    <cfRule type="cellIs" dxfId="1318" priority="46" stopIfTrue="1" operator="lessThan">
      <formula>-0.03</formula>
    </cfRule>
  </conditionalFormatting>
  <conditionalFormatting sqref="X104">
    <cfRule type="cellIs" dxfId="1317" priority="43" operator="greaterThan">
      <formula>0.03</formula>
    </cfRule>
    <cfRule type="cellIs" dxfId="1316" priority="44" stopIfTrue="1" operator="lessThan">
      <formula>-0.03</formula>
    </cfRule>
  </conditionalFormatting>
  <conditionalFormatting sqref="Y104">
    <cfRule type="cellIs" dxfId="1315" priority="41" operator="greaterThan">
      <formula>0.03</formula>
    </cfRule>
    <cfRule type="cellIs" dxfId="1314" priority="42" stopIfTrue="1" operator="lessThan">
      <formula>-0.03</formula>
    </cfRule>
  </conditionalFormatting>
  <conditionalFormatting sqref="T111:V112">
    <cfRule type="cellIs" dxfId="1313" priority="39" operator="greaterThan">
      <formula>0.03</formula>
    </cfRule>
    <cfRule type="cellIs" dxfId="1312" priority="40" stopIfTrue="1" operator="lessThan">
      <formula>-0.03</formula>
    </cfRule>
  </conditionalFormatting>
  <conditionalFormatting sqref="W112:Y112">
    <cfRule type="cellIs" dxfId="1311" priority="37" operator="greaterThan">
      <formula>0.03</formula>
    </cfRule>
    <cfRule type="cellIs" dxfId="1310" priority="38" stopIfTrue="1" operator="lessThan">
      <formula>-0.03</formula>
    </cfRule>
  </conditionalFormatting>
  <conditionalFormatting sqref="W111">
    <cfRule type="cellIs" dxfId="1309" priority="35" operator="greaterThan">
      <formula>0.03</formula>
    </cfRule>
    <cfRule type="cellIs" dxfId="1308" priority="36" stopIfTrue="1" operator="lessThan">
      <formula>-0.03</formula>
    </cfRule>
  </conditionalFormatting>
  <conditionalFormatting sqref="X111">
    <cfRule type="cellIs" dxfId="1307" priority="33" operator="greaterThan">
      <formula>0.03</formula>
    </cfRule>
    <cfRule type="cellIs" dxfId="1306" priority="34" stopIfTrue="1" operator="lessThan">
      <formula>-0.03</formula>
    </cfRule>
  </conditionalFormatting>
  <conditionalFormatting sqref="Y111">
    <cfRule type="cellIs" dxfId="1305" priority="31" operator="greaterThan">
      <formula>0.03</formula>
    </cfRule>
    <cfRule type="cellIs" dxfId="1304" priority="32" stopIfTrue="1" operator="lessThan">
      <formula>-0.03</formula>
    </cfRule>
  </conditionalFormatting>
  <conditionalFormatting sqref="T71:V74">
    <cfRule type="cellIs" dxfId="1303" priority="29" operator="greaterThan">
      <formula>0.03</formula>
    </cfRule>
    <cfRule type="cellIs" dxfId="1302" priority="30" stopIfTrue="1" operator="lessThan">
      <formula>-0.03</formula>
    </cfRule>
  </conditionalFormatting>
  <conditionalFormatting sqref="T75:V78">
    <cfRule type="cellIs" dxfId="1301" priority="27" operator="greaterThan">
      <formula>0.03</formula>
    </cfRule>
    <cfRule type="cellIs" dxfId="1300" priority="28" stopIfTrue="1" operator="lessThan">
      <formula>-0.03</formula>
    </cfRule>
  </conditionalFormatting>
  <conditionalFormatting sqref="T79:V82">
    <cfRule type="cellIs" dxfId="1299" priority="25" operator="greaterThan">
      <formula>0.03</formula>
    </cfRule>
    <cfRule type="cellIs" dxfId="1298" priority="26" stopIfTrue="1" operator="lessThan">
      <formula>-0.03</formula>
    </cfRule>
  </conditionalFormatting>
  <conditionalFormatting sqref="W71">
    <cfRule type="cellIs" dxfId="1297" priority="23" operator="greaterThan">
      <formula>0.03</formula>
    </cfRule>
    <cfRule type="cellIs" dxfId="1296" priority="24" stopIfTrue="1" operator="lessThan">
      <formula>-0.03</formula>
    </cfRule>
  </conditionalFormatting>
  <conditionalFormatting sqref="X71">
    <cfRule type="cellIs" dxfId="1295" priority="21" operator="greaterThan">
      <formula>0.03</formula>
    </cfRule>
    <cfRule type="cellIs" dxfId="1294" priority="22" stopIfTrue="1" operator="lessThan">
      <formula>-0.03</formula>
    </cfRule>
  </conditionalFormatting>
  <conditionalFormatting sqref="Y71">
    <cfRule type="cellIs" dxfId="1293" priority="19" operator="greaterThan">
      <formula>0.03</formula>
    </cfRule>
    <cfRule type="cellIs" dxfId="1292" priority="20" stopIfTrue="1" operator="lessThan">
      <formula>-0.03</formula>
    </cfRule>
  </conditionalFormatting>
  <conditionalFormatting sqref="W74:X74">
    <cfRule type="cellIs" dxfId="1291" priority="17" operator="greaterThan">
      <formula>0.03</formula>
    </cfRule>
    <cfRule type="cellIs" dxfId="1290" priority="18" stopIfTrue="1" operator="lessThan">
      <formula>-0.03</formula>
    </cfRule>
  </conditionalFormatting>
  <conditionalFormatting sqref="W75">
    <cfRule type="cellIs" dxfId="1289" priority="15" operator="greaterThan">
      <formula>0.03</formula>
    </cfRule>
    <cfRule type="cellIs" dxfId="1288" priority="16" stopIfTrue="1" operator="lessThan">
      <formula>-0.03</formula>
    </cfRule>
  </conditionalFormatting>
  <conditionalFormatting sqref="X75">
    <cfRule type="cellIs" dxfId="1287" priority="13" operator="greaterThan">
      <formula>0.03</formula>
    </cfRule>
    <cfRule type="cellIs" dxfId="1286" priority="14" stopIfTrue="1" operator="lessThan">
      <formula>-0.03</formula>
    </cfRule>
  </conditionalFormatting>
  <conditionalFormatting sqref="Y75">
    <cfRule type="cellIs" dxfId="1285" priority="11" operator="greaterThan">
      <formula>0.03</formula>
    </cfRule>
    <cfRule type="cellIs" dxfId="1284" priority="12" stopIfTrue="1" operator="lessThan">
      <formula>-0.03</formula>
    </cfRule>
  </conditionalFormatting>
  <conditionalFormatting sqref="W78:X78">
    <cfRule type="cellIs" dxfId="1283" priority="9" operator="greaterThan">
      <formula>0.03</formula>
    </cfRule>
    <cfRule type="cellIs" dxfId="1282" priority="10" stopIfTrue="1" operator="lessThan">
      <formula>-0.03</formula>
    </cfRule>
  </conditionalFormatting>
  <conditionalFormatting sqref="W79">
    <cfRule type="cellIs" dxfId="1281" priority="7" operator="greaterThan">
      <formula>0.03</formula>
    </cfRule>
    <cfRule type="cellIs" dxfId="1280" priority="8" stopIfTrue="1" operator="lessThan">
      <formula>-0.03</formula>
    </cfRule>
  </conditionalFormatting>
  <conditionalFormatting sqref="X79">
    <cfRule type="cellIs" dxfId="1279" priority="5" operator="greaterThan">
      <formula>0.03</formula>
    </cfRule>
    <cfRule type="cellIs" dxfId="1278" priority="6" stopIfTrue="1" operator="lessThan">
      <formula>-0.03</formula>
    </cfRule>
  </conditionalFormatting>
  <conditionalFormatting sqref="Y79">
    <cfRule type="cellIs" dxfId="1277" priority="3" operator="greaterThan">
      <formula>0.03</formula>
    </cfRule>
    <cfRule type="cellIs" dxfId="1276" priority="4" stopIfTrue="1" operator="lessThan">
      <formula>-0.03</formula>
    </cfRule>
  </conditionalFormatting>
  <conditionalFormatting sqref="W82:X82">
    <cfRule type="cellIs" dxfId="1275" priority="1" operator="greaterThan">
      <formula>0.03</formula>
    </cfRule>
    <cfRule type="cellIs" dxfId="1274" priority="2" stopIfTrue="1" operator="lessThan">
      <formula>-0.03</formula>
    </cfRule>
  </conditionalFormatting>
  <pageMargins left="0.75" right="0.75" top="1" bottom="1" header="0.5" footer="0.5"/>
  <pageSetup paperSize="9" orientation="portrait" horizontalDpi="4294967292" verticalDpi="4294967292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C114"/>
  <sheetViews>
    <sheetView topLeftCell="A16" zoomScale="85" zoomScaleNormal="85" workbookViewId="0">
      <selection activeCell="D19" sqref="D19:H56"/>
    </sheetView>
  </sheetViews>
  <sheetFormatPr defaultColWidth="10.77734375" defaultRowHeight="12" x14ac:dyDescent="0.2"/>
  <cols>
    <col min="1" max="1" width="8.33203125" style="1" customWidth="1"/>
    <col min="2" max="2" width="14.77734375" style="1" customWidth="1"/>
    <col min="3" max="3" width="7.77734375" style="1" customWidth="1"/>
    <col min="4" max="4" width="9.77734375" style="1" customWidth="1"/>
    <col min="5" max="7" width="6.77734375" style="1" customWidth="1"/>
    <col min="8" max="10" width="8.77734375" style="1" customWidth="1"/>
    <col min="11" max="11" width="2.77734375" style="1" customWidth="1"/>
    <col min="12" max="12" width="9.77734375" style="1" customWidth="1"/>
    <col min="13" max="15" width="6.77734375" style="1" customWidth="1"/>
    <col min="16" max="18" width="8.77734375" style="1" customWidth="1"/>
    <col min="19" max="19" width="2.77734375" style="1" customWidth="1"/>
    <col min="20" max="25" width="8.77734375" style="1" customWidth="1"/>
    <col min="26" max="16384" width="10.77734375" style="1"/>
  </cols>
  <sheetData>
    <row r="1" spans="1:25" ht="12.75" thickBot="1" x14ac:dyDescent="0.25">
      <c r="D1" s="162" t="s">
        <v>32</v>
      </c>
      <c r="E1" s="163"/>
      <c r="F1" s="163"/>
      <c r="G1" s="163"/>
      <c r="H1" s="163"/>
      <c r="I1" s="163"/>
      <c r="J1" s="164"/>
      <c r="L1" s="162" t="s">
        <v>33</v>
      </c>
      <c r="M1" s="163"/>
      <c r="N1" s="163"/>
      <c r="O1" s="163"/>
      <c r="P1" s="163"/>
      <c r="Q1" s="163"/>
      <c r="R1" s="164"/>
      <c r="S1" s="2"/>
      <c r="T1" s="162" t="s">
        <v>47</v>
      </c>
      <c r="U1" s="163"/>
      <c r="V1" s="164"/>
      <c r="W1" s="162" t="s">
        <v>48</v>
      </c>
      <c r="X1" s="163"/>
      <c r="Y1" s="164"/>
    </row>
    <row r="2" spans="1:25" ht="12.75" thickBot="1" x14ac:dyDescent="0.25">
      <c r="A2" s="3"/>
      <c r="B2" s="4"/>
      <c r="C2" s="5" t="s">
        <v>1</v>
      </c>
      <c r="D2" s="6" t="s">
        <v>34</v>
      </c>
      <c r="E2" s="7" t="s">
        <v>35</v>
      </c>
      <c r="F2" s="7" t="s">
        <v>36</v>
      </c>
      <c r="G2" s="7" t="s">
        <v>37</v>
      </c>
      <c r="H2" s="7" t="s">
        <v>38</v>
      </c>
      <c r="I2" s="7" t="s">
        <v>39</v>
      </c>
      <c r="J2" s="8" t="s">
        <v>40</v>
      </c>
      <c r="K2" s="2"/>
      <c r="L2" s="6" t="s">
        <v>34</v>
      </c>
      <c r="M2" s="7" t="s">
        <v>35</v>
      </c>
      <c r="N2" s="7" t="s">
        <v>36</v>
      </c>
      <c r="O2" s="7" t="s">
        <v>37</v>
      </c>
      <c r="P2" s="7" t="s">
        <v>38</v>
      </c>
      <c r="Q2" s="7" t="s">
        <v>39</v>
      </c>
      <c r="R2" s="8" t="s">
        <v>40</v>
      </c>
      <c r="S2" s="9"/>
      <c r="T2" s="6" t="s">
        <v>41</v>
      </c>
      <c r="U2" s="7" t="s">
        <v>42</v>
      </c>
      <c r="V2" s="8" t="s">
        <v>43</v>
      </c>
      <c r="W2" s="10" t="s">
        <v>41</v>
      </c>
      <c r="X2" s="11" t="s">
        <v>42</v>
      </c>
      <c r="Y2" s="12" t="s">
        <v>43</v>
      </c>
    </row>
    <row r="3" spans="1:25" x14ac:dyDescent="0.2">
      <c r="A3" s="63" t="s">
        <v>2</v>
      </c>
      <c r="B3" s="63" t="s">
        <v>3</v>
      </c>
      <c r="C3" s="63">
        <v>22</v>
      </c>
      <c r="D3" s="64"/>
      <c r="E3" s="65"/>
      <c r="F3" s="65"/>
      <c r="G3" s="65"/>
      <c r="H3" s="65"/>
      <c r="I3" s="65"/>
      <c r="J3" s="66"/>
      <c r="K3" s="67"/>
      <c r="L3" s="86"/>
      <c r="M3" s="87"/>
      <c r="N3" s="87"/>
      <c r="O3" s="87"/>
      <c r="P3" s="87"/>
      <c r="Q3" s="87"/>
      <c r="R3" s="88"/>
      <c r="S3" s="95"/>
      <c r="T3" s="96"/>
      <c r="U3" s="97"/>
      <c r="V3" s="98"/>
      <c r="W3" s="96"/>
      <c r="X3" s="97"/>
      <c r="Y3" s="98"/>
    </row>
    <row r="4" spans="1:25" x14ac:dyDescent="0.2">
      <c r="A4" s="72" t="s">
        <v>4</v>
      </c>
      <c r="B4" s="72"/>
      <c r="C4" s="72">
        <v>27</v>
      </c>
      <c r="D4" s="73"/>
      <c r="E4" s="74"/>
      <c r="F4" s="74"/>
      <c r="G4" s="74"/>
      <c r="H4" s="74"/>
      <c r="I4" s="74"/>
      <c r="J4" s="75"/>
      <c r="K4" s="67"/>
      <c r="L4" s="89"/>
      <c r="M4" s="90"/>
      <c r="N4" s="90"/>
      <c r="O4" s="90"/>
      <c r="P4" s="90"/>
      <c r="Q4" s="90"/>
      <c r="R4" s="91"/>
      <c r="S4" s="95"/>
      <c r="T4" s="99"/>
      <c r="U4" s="100"/>
      <c r="V4" s="101"/>
      <c r="W4" s="99"/>
      <c r="X4" s="100"/>
      <c r="Y4" s="101"/>
    </row>
    <row r="5" spans="1:25" x14ac:dyDescent="0.2">
      <c r="A5" s="72"/>
      <c r="B5" s="72"/>
      <c r="C5" s="72">
        <v>32</v>
      </c>
      <c r="D5" s="73"/>
      <c r="E5" s="74"/>
      <c r="F5" s="74"/>
      <c r="G5" s="74"/>
      <c r="H5" s="74"/>
      <c r="I5" s="74"/>
      <c r="J5" s="75"/>
      <c r="K5" s="67"/>
      <c r="L5" s="89"/>
      <c r="M5" s="90"/>
      <c r="N5" s="90"/>
      <c r="O5" s="90"/>
      <c r="P5" s="90"/>
      <c r="Q5" s="90"/>
      <c r="R5" s="91"/>
      <c r="S5" s="95"/>
      <c r="T5" s="99"/>
      <c r="U5" s="100"/>
      <c r="V5" s="101"/>
      <c r="W5" s="99"/>
      <c r="X5" s="100"/>
      <c r="Y5" s="101"/>
    </row>
    <row r="6" spans="1:25" ht="12.75" thickBot="1" x14ac:dyDescent="0.25">
      <c r="A6" s="72"/>
      <c r="B6" s="79"/>
      <c r="C6" s="79">
        <v>37</v>
      </c>
      <c r="D6" s="80"/>
      <c r="E6" s="81"/>
      <c r="F6" s="81"/>
      <c r="G6" s="81"/>
      <c r="H6" s="81"/>
      <c r="I6" s="81"/>
      <c r="J6" s="82"/>
      <c r="K6" s="67"/>
      <c r="L6" s="92"/>
      <c r="M6" s="93"/>
      <c r="N6" s="93"/>
      <c r="O6" s="93"/>
      <c r="P6" s="93"/>
      <c r="Q6" s="93"/>
      <c r="R6" s="94"/>
      <c r="S6" s="95"/>
      <c r="T6" s="102"/>
      <c r="U6" s="103"/>
      <c r="V6" s="104"/>
      <c r="W6" s="102"/>
      <c r="X6" s="103"/>
      <c r="Y6" s="104"/>
    </row>
    <row r="7" spans="1:25" x14ac:dyDescent="0.2">
      <c r="A7" s="72"/>
      <c r="B7" s="63" t="s">
        <v>5</v>
      </c>
      <c r="C7" s="63">
        <v>22</v>
      </c>
      <c r="D7" s="64"/>
      <c r="E7" s="65"/>
      <c r="F7" s="65"/>
      <c r="G7" s="65"/>
      <c r="H7" s="65"/>
      <c r="I7" s="65"/>
      <c r="J7" s="66"/>
      <c r="K7" s="67"/>
      <c r="L7" s="86"/>
      <c r="M7" s="87"/>
      <c r="N7" s="87"/>
      <c r="O7" s="87"/>
      <c r="P7" s="87"/>
      <c r="Q7" s="87"/>
      <c r="R7" s="88"/>
      <c r="S7" s="95"/>
      <c r="T7" s="96"/>
      <c r="U7" s="97"/>
      <c r="V7" s="97"/>
      <c r="W7" s="105"/>
      <c r="X7" s="106"/>
      <c r="Y7" s="107"/>
    </row>
    <row r="8" spans="1:25" x14ac:dyDescent="0.2">
      <c r="A8" s="72"/>
      <c r="B8" s="72"/>
      <c r="C8" s="72">
        <v>27</v>
      </c>
      <c r="D8" s="73"/>
      <c r="E8" s="74"/>
      <c r="F8" s="74"/>
      <c r="G8" s="74"/>
      <c r="H8" s="74"/>
      <c r="I8" s="74"/>
      <c r="J8" s="75"/>
      <c r="K8" s="67"/>
      <c r="L8" s="89"/>
      <c r="M8" s="90"/>
      <c r="N8" s="90"/>
      <c r="O8" s="90"/>
      <c r="P8" s="90"/>
      <c r="Q8" s="90"/>
      <c r="R8" s="91"/>
      <c r="S8" s="95"/>
      <c r="T8" s="99"/>
      <c r="U8" s="100"/>
      <c r="V8" s="100"/>
      <c r="W8" s="99"/>
      <c r="X8" s="100"/>
      <c r="Y8" s="101"/>
    </row>
    <row r="9" spans="1:25" x14ac:dyDescent="0.2">
      <c r="A9" s="72"/>
      <c r="B9" s="72"/>
      <c r="C9" s="72">
        <v>32</v>
      </c>
      <c r="D9" s="73"/>
      <c r="E9" s="74"/>
      <c r="F9" s="74"/>
      <c r="G9" s="74"/>
      <c r="H9" s="74"/>
      <c r="I9" s="74"/>
      <c r="J9" s="75"/>
      <c r="K9" s="67"/>
      <c r="L9" s="89"/>
      <c r="M9" s="90"/>
      <c r="N9" s="90"/>
      <c r="O9" s="90"/>
      <c r="P9" s="90"/>
      <c r="Q9" s="90"/>
      <c r="R9" s="91"/>
      <c r="S9" s="95"/>
      <c r="T9" s="99"/>
      <c r="U9" s="108"/>
      <c r="V9" s="100"/>
      <c r="W9" s="99"/>
      <c r="X9" s="100"/>
      <c r="Y9" s="101"/>
    </row>
    <row r="10" spans="1:25" ht="12.75" thickBot="1" x14ac:dyDescent="0.25">
      <c r="A10" s="72"/>
      <c r="B10" s="79"/>
      <c r="C10" s="79">
        <v>37</v>
      </c>
      <c r="D10" s="80"/>
      <c r="E10" s="81"/>
      <c r="F10" s="81"/>
      <c r="G10" s="81"/>
      <c r="H10" s="81"/>
      <c r="I10" s="81"/>
      <c r="J10" s="82"/>
      <c r="K10" s="67"/>
      <c r="L10" s="92"/>
      <c r="M10" s="93"/>
      <c r="N10" s="93"/>
      <c r="O10" s="93"/>
      <c r="P10" s="93"/>
      <c r="Q10" s="93"/>
      <c r="R10" s="94"/>
      <c r="S10" s="95"/>
      <c r="T10" s="102"/>
      <c r="U10" s="103"/>
      <c r="V10" s="103"/>
      <c r="W10" s="102"/>
      <c r="X10" s="103"/>
      <c r="Y10" s="104"/>
    </row>
    <row r="11" spans="1:25" x14ac:dyDescent="0.2">
      <c r="A11" s="72"/>
      <c r="B11" s="63" t="s">
        <v>0</v>
      </c>
      <c r="C11" s="63">
        <v>22</v>
      </c>
      <c r="D11" s="64"/>
      <c r="E11" s="65"/>
      <c r="F11" s="65"/>
      <c r="G11" s="65"/>
      <c r="H11" s="65"/>
      <c r="I11" s="65"/>
      <c r="J11" s="66"/>
      <c r="K11" s="67"/>
      <c r="L11" s="86"/>
      <c r="M11" s="87"/>
      <c r="N11" s="87"/>
      <c r="O11" s="87"/>
      <c r="P11" s="87"/>
      <c r="Q11" s="87"/>
      <c r="R11" s="88"/>
      <c r="S11" s="95"/>
      <c r="T11" s="96"/>
      <c r="U11" s="97"/>
      <c r="V11" s="97"/>
      <c r="W11" s="105"/>
      <c r="X11" s="106"/>
      <c r="Y11" s="107"/>
    </row>
    <row r="12" spans="1:25" x14ac:dyDescent="0.2">
      <c r="A12" s="72"/>
      <c r="B12" s="72"/>
      <c r="C12" s="72">
        <v>27</v>
      </c>
      <c r="D12" s="73"/>
      <c r="E12" s="74"/>
      <c r="F12" s="74"/>
      <c r="G12" s="74"/>
      <c r="H12" s="74"/>
      <c r="I12" s="74"/>
      <c r="J12" s="75"/>
      <c r="K12" s="67"/>
      <c r="L12" s="89"/>
      <c r="M12" s="90"/>
      <c r="N12" s="90"/>
      <c r="O12" s="90"/>
      <c r="P12" s="90"/>
      <c r="Q12" s="90"/>
      <c r="R12" s="91"/>
      <c r="S12" s="95"/>
      <c r="T12" s="99"/>
      <c r="U12" s="100"/>
      <c r="V12" s="100"/>
      <c r="W12" s="99"/>
      <c r="X12" s="100"/>
      <c r="Y12" s="101"/>
    </row>
    <row r="13" spans="1:25" x14ac:dyDescent="0.2">
      <c r="A13" s="72"/>
      <c r="B13" s="72"/>
      <c r="C13" s="72">
        <v>32</v>
      </c>
      <c r="D13" s="73"/>
      <c r="E13" s="74"/>
      <c r="F13" s="74"/>
      <c r="G13" s="74"/>
      <c r="H13" s="74"/>
      <c r="I13" s="74"/>
      <c r="J13" s="75"/>
      <c r="K13" s="67"/>
      <c r="L13" s="89"/>
      <c r="M13" s="90"/>
      <c r="N13" s="90"/>
      <c r="O13" s="90"/>
      <c r="P13" s="90"/>
      <c r="Q13" s="90"/>
      <c r="R13" s="91"/>
      <c r="S13" s="95"/>
      <c r="T13" s="99"/>
      <c r="U13" s="100"/>
      <c r="V13" s="100"/>
      <c r="W13" s="99"/>
      <c r="X13" s="100"/>
      <c r="Y13" s="101"/>
    </row>
    <row r="14" spans="1:25" ht="12.75" thickBot="1" x14ac:dyDescent="0.25">
      <c r="A14" s="72"/>
      <c r="B14" s="79"/>
      <c r="C14" s="79">
        <v>37</v>
      </c>
      <c r="D14" s="80"/>
      <c r="E14" s="81"/>
      <c r="F14" s="81"/>
      <c r="G14" s="81"/>
      <c r="H14" s="81"/>
      <c r="I14" s="81"/>
      <c r="J14" s="82"/>
      <c r="K14" s="67"/>
      <c r="L14" s="92"/>
      <c r="M14" s="93"/>
      <c r="N14" s="93"/>
      <c r="O14" s="93"/>
      <c r="P14" s="93"/>
      <c r="Q14" s="93"/>
      <c r="R14" s="94"/>
      <c r="S14" s="95"/>
      <c r="T14" s="102"/>
      <c r="U14" s="103"/>
      <c r="V14" s="103"/>
      <c r="W14" s="102"/>
      <c r="X14" s="103"/>
      <c r="Y14" s="104"/>
    </row>
    <row r="15" spans="1:25" x14ac:dyDescent="0.2">
      <c r="A15" s="72"/>
      <c r="B15" s="63" t="s">
        <v>6</v>
      </c>
      <c r="C15" s="63">
        <v>22</v>
      </c>
      <c r="D15" s="64"/>
      <c r="E15" s="65"/>
      <c r="F15" s="65"/>
      <c r="G15" s="65"/>
      <c r="H15" s="65"/>
      <c r="I15" s="65"/>
      <c r="J15" s="66"/>
      <c r="K15" s="67"/>
      <c r="L15" s="86"/>
      <c r="M15" s="87"/>
      <c r="N15" s="87"/>
      <c r="O15" s="87"/>
      <c r="P15" s="87"/>
      <c r="Q15" s="87"/>
      <c r="R15" s="88"/>
      <c r="S15" s="95"/>
      <c r="T15" s="96"/>
      <c r="U15" s="97"/>
      <c r="V15" s="97"/>
      <c r="W15" s="105"/>
      <c r="X15" s="106"/>
      <c r="Y15" s="107"/>
    </row>
    <row r="16" spans="1:25" x14ac:dyDescent="0.2">
      <c r="A16" s="72"/>
      <c r="B16" s="72"/>
      <c r="C16" s="72">
        <v>27</v>
      </c>
      <c r="D16" s="73"/>
      <c r="E16" s="74"/>
      <c r="F16" s="74"/>
      <c r="G16" s="74"/>
      <c r="H16" s="74"/>
      <c r="I16" s="74"/>
      <c r="J16" s="75"/>
      <c r="K16" s="67"/>
      <c r="L16" s="89"/>
      <c r="M16" s="90"/>
      <c r="N16" s="90"/>
      <c r="O16" s="90"/>
      <c r="P16" s="90"/>
      <c r="Q16" s="90"/>
      <c r="R16" s="91"/>
      <c r="S16" s="95"/>
      <c r="T16" s="99"/>
      <c r="U16" s="100"/>
      <c r="V16" s="100"/>
      <c r="W16" s="99"/>
      <c r="X16" s="100"/>
      <c r="Y16" s="101"/>
    </row>
    <row r="17" spans="1:28" x14ac:dyDescent="0.2">
      <c r="A17" s="72"/>
      <c r="B17" s="72"/>
      <c r="C17" s="72">
        <v>32</v>
      </c>
      <c r="D17" s="73"/>
      <c r="E17" s="74"/>
      <c r="F17" s="74"/>
      <c r="G17" s="74"/>
      <c r="H17" s="74"/>
      <c r="I17" s="74"/>
      <c r="J17" s="75"/>
      <c r="K17" s="67"/>
      <c r="L17" s="89"/>
      <c r="M17" s="90"/>
      <c r="N17" s="90"/>
      <c r="O17" s="90"/>
      <c r="P17" s="90"/>
      <c r="Q17" s="90"/>
      <c r="R17" s="91"/>
      <c r="S17" s="95"/>
      <c r="T17" s="99"/>
      <c r="U17" s="100"/>
      <c r="V17" s="100"/>
      <c r="W17" s="99"/>
      <c r="X17" s="100"/>
      <c r="Y17" s="101"/>
    </row>
    <row r="18" spans="1:28" ht="12.75" thickBot="1" x14ac:dyDescent="0.25">
      <c r="A18" s="79"/>
      <c r="B18" s="79"/>
      <c r="C18" s="79">
        <v>37</v>
      </c>
      <c r="D18" s="80"/>
      <c r="E18" s="81"/>
      <c r="F18" s="81"/>
      <c r="G18" s="81"/>
      <c r="H18" s="81"/>
      <c r="I18" s="81"/>
      <c r="J18" s="82"/>
      <c r="K18" s="67"/>
      <c r="L18" s="92"/>
      <c r="M18" s="93"/>
      <c r="N18" s="93"/>
      <c r="O18" s="93"/>
      <c r="P18" s="93"/>
      <c r="Q18" s="93"/>
      <c r="R18" s="94"/>
      <c r="S18" s="95"/>
      <c r="T18" s="102"/>
      <c r="U18" s="103"/>
      <c r="V18" s="103"/>
      <c r="W18" s="102"/>
      <c r="X18" s="103"/>
      <c r="Y18" s="104"/>
    </row>
    <row r="19" spans="1:28" x14ac:dyDescent="0.2">
      <c r="A19" s="63" t="s">
        <v>7</v>
      </c>
      <c r="B19" s="63" t="s">
        <v>8</v>
      </c>
      <c r="C19" s="63">
        <v>22</v>
      </c>
      <c r="D19" s="14"/>
      <c r="E19" s="15"/>
      <c r="F19" s="15"/>
      <c r="G19" s="15"/>
      <c r="H19" s="15"/>
      <c r="I19" s="15"/>
      <c r="J19" s="16">
        <f t="shared" ref="J19:J67" si="0">H19/3600</f>
        <v>0</v>
      </c>
      <c r="L19" s="14"/>
      <c r="M19" s="15"/>
      <c r="N19" s="15"/>
      <c r="O19" s="15"/>
      <c r="P19" s="15"/>
      <c r="Q19" s="15"/>
      <c r="R19" s="16">
        <f t="shared" ref="R19:R67" si="1">P19/3600</f>
        <v>0</v>
      </c>
      <c r="S19" s="20"/>
      <c r="T19" s="21" t="e">
        <f>bdrate($D19:$D22,E19:E22,$L19:$L22,M19:M22)</f>
        <v>#VALUE!</v>
      </c>
      <c r="U19" s="22" t="e">
        <f>bdrate($D19:$D22,F19:F22,$L19:$L22,N19:N22)</f>
        <v>#VALUE!</v>
      </c>
      <c r="V19" s="22" t="e">
        <f>bdrate($D19:$D22,G19:G22,$L19:$L22,O19:O22)</f>
        <v>#VALUE!</v>
      </c>
      <c r="W19" s="44" t="e">
        <f>bdrateOld($D19:$D22,E19:E22,$L19:$L22,M19:M22)</f>
        <v>#VALUE!</v>
      </c>
      <c r="X19" s="45" t="e">
        <f>bdrateOld($D19:$D22,F19:F22,$L19:$L22,N19:N22)</f>
        <v>#VALUE!</v>
      </c>
      <c r="Y19" s="46" t="e">
        <f>bdrateOld($D19:$D22,G19:G22,$L19:$L22,O19:O22)</f>
        <v>#VALUE!</v>
      </c>
      <c r="Z19" s="122" t="e">
        <f t="shared" ref="Z19:Z26" si="2">(H19-P19)/H19</f>
        <v>#DIV/0!</v>
      </c>
      <c r="AA19" s="124" t="e">
        <f>AVERAGE(Z19:Z22)</f>
        <v>#DIV/0!</v>
      </c>
      <c r="AB19" s="139" t="e">
        <f ca="1">[1]!BJM(D19:E22,L19:M22,0)</f>
        <v>#NAME?</v>
      </c>
    </row>
    <row r="20" spans="1:28" x14ac:dyDescent="0.2">
      <c r="A20" s="72" t="s">
        <v>9</v>
      </c>
      <c r="B20" s="72"/>
      <c r="C20" s="72">
        <v>27</v>
      </c>
      <c r="D20" s="25"/>
      <c r="E20" s="26"/>
      <c r="F20" s="26"/>
      <c r="G20" s="26"/>
      <c r="H20" s="26"/>
      <c r="I20" s="26"/>
      <c r="J20" s="27">
        <f t="shared" si="0"/>
        <v>0</v>
      </c>
      <c r="L20" s="25"/>
      <c r="M20" s="26"/>
      <c r="N20" s="26"/>
      <c r="O20" s="26"/>
      <c r="P20" s="26"/>
      <c r="Q20" s="26"/>
      <c r="R20" s="27">
        <f t="shared" si="1"/>
        <v>0</v>
      </c>
      <c r="S20" s="20"/>
      <c r="T20" s="31"/>
      <c r="U20" s="32"/>
      <c r="V20" s="32"/>
      <c r="W20" s="31"/>
      <c r="X20" s="32"/>
      <c r="Y20" s="33"/>
      <c r="Z20" s="122" t="e">
        <f t="shared" si="2"/>
        <v>#DIV/0!</v>
      </c>
      <c r="AA20" s="33"/>
      <c r="AB20" s="125"/>
    </row>
    <row r="21" spans="1:28" x14ac:dyDescent="0.2">
      <c r="A21" s="72"/>
      <c r="B21" s="72"/>
      <c r="C21" s="72">
        <v>32</v>
      </c>
      <c r="D21" s="25"/>
      <c r="E21" s="26"/>
      <c r="F21" s="26"/>
      <c r="G21" s="26"/>
      <c r="H21" s="26"/>
      <c r="I21" s="26"/>
      <c r="J21" s="27">
        <f t="shared" si="0"/>
        <v>0</v>
      </c>
      <c r="L21" s="25"/>
      <c r="M21" s="26"/>
      <c r="N21" s="26"/>
      <c r="O21" s="26"/>
      <c r="P21" s="26"/>
      <c r="Q21" s="26"/>
      <c r="R21" s="27">
        <f t="shared" si="1"/>
        <v>0</v>
      </c>
      <c r="S21" s="20"/>
      <c r="T21" s="31"/>
      <c r="U21" s="32"/>
      <c r="V21" s="32"/>
      <c r="W21" s="31"/>
      <c r="X21" s="32"/>
      <c r="Y21" s="33"/>
      <c r="Z21" s="122" t="e">
        <f t="shared" si="2"/>
        <v>#DIV/0!</v>
      </c>
      <c r="AA21" s="33"/>
      <c r="AB21" s="125"/>
    </row>
    <row r="22" spans="1:28" ht="12.75" thickBot="1" x14ac:dyDescent="0.25">
      <c r="A22" s="72"/>
      <c r="B22" s="79"/>
      <c r="C22" s="79">
        <v>37</v>
      </c>
      <c r="D22" s="35"/>
      <c r="E22" s="36"/>
      <c r="F22" s="36"/>
      <c r="G22" s="36"/>
      <c r="H22" s="36"/>
      <c r="I22" s="36"/>
      <c r="J22" s="37">
        <f t="shared" si="0"/>
        <v>0</v>
      </c>
      <c r="L22" s="35"/>
      <c r="M22" s="36"/>
      <c r="N22" s="36"/>
      <c r="O22" s="36"/>
      <c r="P22" s="36"/>
      <c r="Q22" s="36"/>
      <c r="R22" s="37">
        <f t="shared" si="1"/>
        <v>0</v>
      </c>
      <c r="S22" s="20"/>
      <c r="T22" s="41"/>
      <c r="U22" s="42"/>
      <c r="V22" s="42"/>
      <c r="W22" s="41"/>
      <c r="X22" s="42"/>
      <c r="Y22" s="43"/>
      <c r="Z22" s="123" t="e">
        <f t="shared" si="2"/>
        <v>#DIV/0!</v>
      </c>
      <c r="AA22" s="43"/>
      <c r="AB22" s="125"/>
    </row>
    <row r="23" spans="1:28" x14ac:dyDescent="0.2">
      <c r="A23" s="72"/>
      <c r="B23" s="63" t="s">
        <v>10</v>
      </c>
      <c r="C23" s="63">
        <v>22</v>
      </c>
      <c r="D23" s="14"/>
      <c r="E23" s="15"/>
      <c r="F23" s="15"/>
      <c r="G23" s="15"/>
      <c r="H23" s="15"/>
      <c r="I23" s="15"/>
      <c r="J23" s="16">
        <f t="shared" si="0"/>
        <v>0</v>
      </c>
      <c r="L23" s="14"/>
      <c r="M23" s="15"/>
      <c r="N23" s="15"/>
      <c r="O23" s="15"/>
      <c r="P23" s="15"/>
      <c r="Q23" s="15"/>
      <c r="R23" s="16">
        <f t="shared" si="1"/>
        <v>0</v>
      </c>
      <c r="S23" s="20"/>
      <c r="T23" s="21" t="e">
        <f>bdrate($D23:$D26,E23:E26,$L23:$L26,M23:M26)</f>
        <v>#VALUE!</v>
      </c>
      <c r="U23" s="22" t="e">
        <f>bdrate($D23:$D26,F23:F26,$L23:$L26,N23:N26)</f>
        <v>#VALUE!</v>
      </c>
      <c r="V23" s="22" t="e">
        <f>bdrate($D23:$D26,G23:G26,$L23:$L26,O23:O26)</f>
        <v>#VALUE!</v>
      </c>
      <c r="W23" s="44" t="e">
        <f>bdrateOld($D23:$D26,E23:E26,$L23:$L26,M23:M26)</f>
        <v>#VALUE!</v>
      </c>
      <c r="X23" s="45" t="e">
        <f>bdrateOld($D23:$D26,F23:F26,$L23:$L26,N23:N26)</f>
        <v>#VALUE!</v>
      </c>
      <c r="Y23" s="46" t="e">
        <f>bdrateOld($D23:$D26,G23:G26,$L23:$L26,O23:O26)</f>
        <v>#VALUE!</v>
      </c>
      <c r="Z23" s="122" t="e">
        <f t="shared" si="2"/>
        <v>#DIV/0!</v>
      </c>
      <c r="AA23" s="126" t="e">
        <f>AVERAGE(Z23:Z26)</f>
        <v>#DIV/0!</v>
      </c>
      <c r="AB23" s="139" t="e">
        <f ca="1">[1]!BJM(D23:E26,L23:M26,0)</f>
        <v>#NAME?</v>
      </c>
    </row>
    <row r="24" spans="1:28" x14ac:dyDescent="0.2">
      <c r="A24" s="72"/>
      <c r="B24" s="72"/>
      <c r="C24" s="72">
        <v>27</v>
      </c>
      <c r="D24" s="25"/>
      <c r="E24" s="26"/>
      <c r="F24" s="26"/>
      <c r="G24" s="26"/>
      <c r="H24" s="26"/>
      <c r="I24" s="26"/>
      <c r="J24" s="27">
        <f t="shared" si="0"/>
        <v>0</v>
      </c>
      <c r="L24" s="25"/>
      <c r="M24" s="26"/>
      <c r="N24" s="26"/>
      <c r="O24" s="26"/>
      <c r="P24" s="26"/>
      <c r="Q24" s="26"/>
      <c r="R24" s="27">
        <f t="shared" si="1"/>
        <v>0</v>
      </c>
      <c r="S24" s="20"/>
      <c r="T24" s="31"/>
      <c r="U24" s="32"/>
      <c r="V24" s="32"/>
      <c r="W24" s="31"/>
      <c r="X24" s="32"/>
      <c r="Y24" s="33"/>
      <c r="Z24" s="122" t="e">
        <f t="shared" si="2"/>
        <v>#DIV/0!</v>
      </c>
      <c r="AA24" s="33"/>
      <c r="AB24" s="125"/>
    </row>
    <row r="25" spans="1:28" x14ac:dyDescent="0.2">
      <c r="A25" s="72"/>
      <c r="B25" s="72"/>
      <c r="C25" s="72">
        <v>32</v>
      </c>
      <c r="D25" s="25"/>
      <c r="E25" s="26"/>
      <c r="F25" s="26"/>
      <c r="G25" s="26"/>
      <c r="H25" s="26"/>
      <c r="I25" s="26"/>
      <c r="J25" s="27">
        <f t="shared" si="0"/>
        <v>0</v>
      </c>
      <c r="L25" s="25"/>
      <c r="M25" s="26"/>
      <c r="N25" s="26"/>
      <c r="O25" s="26"/>
      <c r="P25" s="26"/>
      <c r="Q25" s="26"/>
      <c r="R25" s="27">
        <f t="shared" si="1"/>
        <v>0</v>
      </c>
      <c r="S25" s="20"/>
      <c r="T25" s="31"/>
      <c r="U25" s="32"/>
      <c r="V25" s="32"/>
      <c r="W25" s="31"/>
      <c r="X25" s="32"/>
      <c r="Y25" s="33"/>
      <c r="Z25" s="122" t="e">
        <f t="shared" si="2"/>
        <v>#DIV/0!</v>
      </c>
      <c r="AA25" s="33"/>
      <c r="AB25" s="125"/>
    </row>
    <row r="26" spans="1:28" ht="12.75" thickBot="1" x14ac:dyDescent="0.25">
      <c r="A26" s="72"/>
      <c r="B26" s="79"/>
      <c r="C26" s="79">
        <v>37</v>
      </c>
      <c r="D26" s="35"/>
      <c r="E26" s="36"/>
      <c r="F26" s="36"/>
      <c r="G26" s="36"/>
      <c r="H26" s="36"/>
      <c r="I26" s="36"/>
      <c r="J26" s="37">
        <f t="shared" si="0"/>
        <v>0</v>
      </c>
      <c r="L26" s="35"/>
      <c r="M26" s="36"/>
      <c r="N26" s="36"/>
      <c r="O26" s="36"/>
      <c r="P26" s="36"/>
      <c r="Q26" s="36"/>
      <c r="R26" s="37">
        <f t="shared" si="1"/>
        <v>0</v>
      </c>
      <c r="S26" s="20"/>
      <c r="T26" s="41"/>
      <c r="U26" s="42"/>
      <c r="V26" s="42"/>
      <c r="W26" s="41"/>
      <c r="X26" s="42"/>
      <c r="Y26" s="43"/>
      <c r="Z26" s="123" t="e">
        <f t="shared" si="2"/>
        <v>#DIV/0!</v>
      </c>
      <c r="AA26" s="43"/>
      <c r="AB26" s="125"/>
    </row>
    <row r="27" spans="1:28" x14ac:dyDescent="0.2">
      <c r="A27" s="72"/>
      <c r="B27" s="63" t="s">
        <v>11</v>
      </c>
      <c r="C27" s="63">
        <v>22</v>
      </c>
      <c r="D27" s="14"/>
      <c r="E27" s="15"/>
      <c r="F27" s="15"/>
      <c r="G27" s="15"/>
      <c r="H27" s="15"/>
      <c r="I27" s="15"/>
      <c r="J27" s="16">
        <f t="shared" si="0"/>
        <v>0</v>
      </c>
      <c r="L27" s="14"/>
      <c r="M27" s="15"/>
      <c r="N27" s="15"/>
      <c r="O27" s="15"/>
      <c r="P27" s="15"/>
      <c r="Q27" s="15"/>
      <c r="R27" s="16">
        <f t="shared" si="1"/>
        <v>0</v>
      </c>
      <c r="S27" s="20"/>
      <c r="T27" s="21" t="e">
        <f>bdrate($D27:$D30,E27:E30,$L27:$L30,M27:M30)</f>
        <v>#VALUE!</v>
      </c>
      <c r="U27" s="22" t="e">
        <f>bdrate($D27:$D30,F27:F30,$L27:$L30,N27:N30)</f>
        <v>#VALUE!</v>
      </c>
      <c r="V27" s="22" t="e">
        <f>bdrate($D27:$D30,G27:G30,$L27:$L30,O27:O30)</f>
        <v>#VALUE!</v>
      </c>
      <c r="W27" s="44" t="e">
        <f>bdrateOld($D27:$D30,E27:E30,$L27:$L30,M27:M30)</f>
        <v>#VALUE!</v>
      </c>
      <c r="X27" s="45" t="e">
        <f>bdrateOld($D27:$D30,F27:F30,$L27:$L30,N27:N30)</f>
        <v>#VALUE!</v>
      </c>
      <c r="Y27" s="46" t="e">
        <f>bdrateOld($D27:$D30,G27:G30,$L27:$L30,O27:O30)</f>
        <v>#VALUE!</v>
      </c>
      <c r="Z27" s="122" t="e">
        <f t="shared" ref="Z27:Z46" si="3">(H27-P27)/H27</f>
        <v>#DIV/0!</v>
      </c>
      <c r="AA27" s="126" t="e">
        <f>AVERAGE(Z27:Z30)</f>
        <v>#DIV/0!</v>
      </c>
      <c r="AB27" s="139" t="e">
        <f ca="1">[1]!BJM(D27:E30,L27:M30,0)</f>
        <v>#NAME?</v>
      </c>
    </row>
    <row r="28" spans="1:28" x14ac:dyDescent="0.2">
      <c r="A28" s="72"/>
      <c r="B28" s="72"/>
      <c r="C28" s="72">
        <v>27</v>
      </c>
      <c r="D28" s="25"/>
      <c r="E28" s="26"/>
      <c r="F28" s="26"/>
      <c r="G28" s="26"/>
      <c r="H28" s="26"/>
      <c r="I28" s="26"/>
      <c r="J28" s="27">
        <f t="shared" si="0"/>
        <v>0</v>
      </c>
      <c r="L28" s="25"/>
      <c r="M28" s="26"/>
      <c r="N28" s="26"/>
      <c r="O28" s="26"/>
      <c r="P28" s="26"/>
      <c r="Q28" s="26"/>
      <c r="R28" s="27">
        <f t="shared" si="1"/>
        <v>0</v>
      </c>
      <c r="S28" s="20"/>
      <c r="T28" s="31"/>
      <c r="U28" s="32"/>
      <c r="V28" s="32"/>
      <c r="W28" s="31"/>
      <c r="X28" s="32"/>
      <c r="Y28" s="33"/>
      <c r="Z28" s="122" t="e">
        <f t="shared" si="3"/>
        <v>#DIV/0!</v>
      </c>
      <c r="AA28" s="127"/>
      <c r="AB28" s="125"/>
    </row>
    <row r="29" spans="1:28" x14ac:dyDescent="0.2">
      <c r="A29" s="72"/>
      <c r="B29" s="72"/>
      <c r="C29" s="72">
        <v>32</v>
      </c>
      <c r="D29" s="25"/>
      <c r="E29" s="26"/>
      <c r="F29" s="26"/>
      <c r="G29" s="26"/>
      <c r="H29" s="26"/>
      <c r="I29" s="26"/>
      <c r="J29" s="27">
        <f t="shared" si="0"/>
        <v>0</v>
      </c>
      <c r="L29" s="25"/>
      <c r="M29" s="26"/>
      <c r="N29" s="26"/>
      <c r="O29" s="26"/>
      <c r="P29" s="26"/>
      <c r="Q29" s="26"/>
      <c r="R29" s="27">
        <f t="shared" si="1"/>
        <v>0</v>
      </c>
      <c r="S29" s="20"/>
      <c r="T29" s="31"/>
      <c r="U29" s="32"/>
      <c r="V29" s="32"/>
      <c r="W29" s="31"/>
      <c r="X29" s="32"/>
      <c r="Y29" s="33"/>
      <c r="Z29" s="122" t="e">
        <f t="shared" si="3"/>
        <v>#DIV/0!</v>
      </c>
      <c r="AA29" s="127"/>
      <c r="AB29" s="125"/>
    </row>
    <row r="30" spans="1:28" ht="12.75" thickBot="1" x14ac:dyDescent="0.25">
      <c r="A30" s="72"/>
      <c r="B30" s="79"/>
      <c r="C30" s="79">
        <v>37</v>
      </c>
      <c r="D30" s="35"/>
      <c r="E30" s="36"/>
      <c r="F30" s="36"/>
      <c r="G30" s="36"/>
      <c r="H30" s="36"/>
      <c r="I30" s="36"/>
      <c r="J30" s="37">
        <f t="shared" si="0"/>
        <v>0</v>
      </c>
      <c r="L30" s="35"/>
      <c r="M30" s="36"/>
      <c r="N30" s="36"/>
      <c r="O30" s="36"/>
      <c r="P30" s="36"/>
      <c r="Q30" s="36"/>
      <c r="R30" s="37">
        <f t="shared" si="1"/>
        <v>0</v>
      </c>
      <c r="S30" s="20"/>
      <c r="T30" s="41"/>
      <c r="U30" s="42"/>
      <c r="V30" s="42"/>
      <c r="W30" s="41"/>
      <c r="X30" s="42"/>
      <c r="Y30" s="43"/>
      <c r="Z30" s="123" t="e">
        <f t="shared" si="3"/>
        <v>#DIV/0!</v>
      </c>
      <c r="AA30" s="128"/>
      <c r="AB30" s="125"/>
    </row>
    <row r="31" spans="1:28" x14ac:dyDescent="0.2">
      <c r="A31" s="72"/>
      <c r="B31" s="63" t="s">
        <v>12</v>
      </c>
      <c r="C31" s="63">
        <v>22</v>
      </c>
      <c r="D31" s="14"/>
      <c r="E31" s="15"/>
      <c r="F31" s="15"/>
      <c r="G31" s="15"/>
      <c r="H31" s="15"/>
      <c r="I31" s="15"/>
      <c r="J31" s="16">
        <f t="shared" si="0"/>
        <v>0</v>
      </c>
      <c r="L31" s="14"/>
      <c r="M31" s="15"/>
      <c r="N31" s="15"/>
      <c r="O31" s="15"/>
      <c r="P31" s="15"/>
      <c r="Q31" s="15"/>
      <c r="R31" s="16">
        <f t="shared" si="1"/>
        <v>0</v>
      </c>
      <c r="S31" s="20"/>
      <c r="T31" s="21" t="e">
        <f>bdrate($D31:$D34,E31:E34,$L31:$L34,M31:M34)</f>
        <v>#VALUE!</v>
      </c>
      <c r="U31" s="22" t="e">
        <f>bdrate($D31:$D34,F31:F34,$L31:$L34,N31:N34)</f>
        <v>#VALUE!</v>
      </c>
      <c r="V31" s="22" t="e">
        <f>bdrate($D31:$D34,G31:G34,$L31:$L34,O31:O34)</f>
        <v>#VALUE!</v>
      </c>
      <c r="W31" s="44" t="e">
        <f>bdrateOld($D31:$D34,E31:E34,$L31:$L34,M31:M34)</f>
        <v>#VALUE!</v>
      </c>
      <c r="X31" s="45" t="e">
        <f>bdrateOld($D31:$D34,F31:F34,$L31:$L34,N31:N34)</f>
        <v>#VALUE!</v>
      </c>
      <c r="Y31" s="46" t="e">
        <f>bdrateOld($D31:$D34,G31:G34,$L31:$L34,O31:O34)</f>
        <v>#VALUE!</v>
      </c>
      <c r="Z31" s="122" t="e">
        <f t="shared" si="3"/>
        <v>#DIV/0!</v>
      </c>
      <c r="AA31" s="126" t="e">
        <f>AVERAGE(Z31:Z34)</f>
        <v>#DIV/0!</v>
      </c>
      <c r="AB31" s="139" t="e">
        <f ca="1">[1]!BJM(D31:E34,L31:M34,0)</f>
        <v>#NAME?</v>
      </c>
    </row>
    <row r="32" spans="1:28" x14ac:dyDescent="0.2">
      <c r="A32" s="72"/>
      <c r="B32" s="72"/>
      <c r="C32" s="72">
        <v>27</v>
      </c>
      <c r="D32" s="25"/>
      <c r="E32" s="26"/>
      <c r="F32" s="26"/>
      <c r="G32" s="26"/>
      <c r="H32" s="26"/>
      <c r="I32" s="26"/>
      <c r="J32" s="27">
        <f t="shared" si="0"/>
        <v>0</v>
      </c>
      <c r="L32" s="25"/>
      <c r="M32" s="26"/>
      <c r="N32" s="26"/>
      <c r="O32" s="26"/>
      <c r="P32" s="26"/>
      <c r="Q32" s="26"/>
      <c r="R32" s="27">
        <f t="shared" si="1"/>
        <v>0</v>
      </c>
      <c r="S32" s="20"/>
      <c r="T32" s="31"/>
      <c r="U32" s="32"/>
      <c r="V32" s="32"/>
      <c r="W32" s="31"/>
      <c r="X32" s="32"/>
      <c r="Y32" s="33"/>
      <c r="Z32" s="122" t="e">
        <f t="shared" si="3"/>
        <v>#DIV/0!</v>
      </c>
      <c r="AA32" s="127"/>
      <c r="AB32" s="125"/>
    </row>
    <row r="33" spans="1:28" x14ac:dyDescent="0.2">
      <c r="A33" s="72"/>
      <c r="B33" s="72"/>
      <c r="C33" s="72">
        <v>32</v>
      </c>
      <c r="D33" s="25"/>
      <c r="E33" s="26"/>
      <c r="F33" s="26"/>
      <c r="G33" s="26"/>
      <c r="H33" s="26"/>
      <c r="I33" s="26"/>
      <c r="J33" s="27">
        <f t="shared" si="0"/>
        <v>0</v>
      </c>
      <c r="L33" s="25"/>
      <c r="M33" s="26"/>
      <c r="N33" s="26"/>
      <c r="O33" s="26"/>
      <c r="P33" s="26"/>
      <c r="Q33" s="26"/>
      <c r="R33" s="27">
        <f t="shared" si="1"/>
        <v>0</v>
      </c>
      <c r="S33" s="20"/>
      <c r="T33" s="31"/>
      <c r="U33" s="32"/>
      <c r="V33" s="32"/>
      <c r="W33" s="31"/>
      <c r="X33" s="32"/>
      <c r="Y33" s="33"/>
      <c r="Z33" s="122" t="e">
        <f t="shared" si="3"/>
        <v>#DIV/0!</v>
      </c>
      <c r="AA33" s="127"/>
      <c r="AB33" s="125"/>
    </row>
    <row r="34" spans="1:28" ht="12.75" thickBot="1" x14ac:dyDescent="0.25">
      <c r="A34" s="72"/>
      <c r="B34" s="79"/>
      <c r="C34" s="79">
        <v>37</v>
      </c>
      <c r="D34" s="35"/>
      <c r="E34" s="36"/>
      <c r="F34" s="36"/>
      <c r="G34" s="36"/>
      <c r="H34" s="36"/>
      <c r="I34" s="36"/>
      <c r="J34" s="37">
        <f t="shared" si="0"/>
        <v>0</v>
      </c>
      <c r="L34" s="35"/>
      <c r="M34" s="36"/>
      <c r="N34" s="36"/>
      <c r="O34" s="36"/>
      <c r="P34" s="36"/>
      <c r="Q34" s="36"/>
      <c r="R34" s="37">
        <f t="shared" si="1"/>
        <v>0</v>
      </c>
      <c r="S34" s="20"/>
      <c r="T34" s="41"/>
      <c r="U34" s="42"/>
      <c r="V34" s="42"/>
      <c r="W34" s="41"/>
      <c r="X34" s="42"/>
      <c r="Y34" s="43"/>
      <c r="Z34" s="123" t="e">
        <f t="shared" si="3"/>
        <v>#DIV/0!</v>
      </c>
      <c r="AA34" s="128"/>
      <c r="AB34" s="125"/>
    </row>
    <row r="35" spans="1:28" x14ac:dyDescent="0.2">
      <c r="A35" s="72"/>
      <c r="B35" s="63" t="s">
        <v>13</v>
      </c>
      <c r="C35" s="63">
        <v>22</v>
      </c>
      <c r="D35" s="14"/>
      <c r="E35" s="15"/>
      <c r="F35" s="15"/>
      <c r="G35" s="15"/>
      <c r="H35" s="15"/>
      <c r="I35" s="15"/>
      <c r="J35" s="16">
        <f t="shared" si="0"/>
        <v>0</v>
      </c>
      <c r="L35" s="14"/>
      <c r="M35" s="15"/>
      <c r="N35" s="15"/>
      <c r="O35" s="15"/>
      <c r="P35" s="15"/>
      <c r="Q35" s="15"/>
      <c r="R35" s="16">
        <f t="shared" si="1"/>
        <v>0</v>
      </c>
      <c r="S35" s="20"/>
      <c r="T35" s="21" t="e">
        <f>bdrate($D35:$D38,E35:E38,$L35:$L38,M35:M38)</f>
        <v>#VALUE!</v>
      </c>
      <c r="U35" s="22" t="e">
        <f>bdrate($D35:$D38,F35:F38,$L35:$L38,N35:N38)</f>
        <v>#VALUE!</v>
      </c>
      <c r="V35" s="22" t="e">
        <f>bdrate($D35:$D38,G35:G38,$L35:$L38,O35:O38)</f>
        <v>#VALUE!</v>
      </c>
      <c r="W35" s="44" t="e">
        <f>bdrateOld($D35:$D38,E35:E38,$L35:$L38,M35:M38)</f>
        <v>#VALUE!</v>
      </c>
      <c r="X35" s="45" t="e">
        <f>bdrateOld($D35:$D38,F35:F38,$L35:$L38,N35:N38)</f>
        <v>#VALUE!</v>
      </c>
      <c r="Y35" s="46" t="e">
        <f>bdrateOld($D35:$D38,G35:G38,$L35:$L38,O35:O38)</f>
        <v>#VALUE!</v>
      </c>
      <c r="Z35" s="122" t="e">
        <f t="shared" si="3"/>
        <v>#DIV/0!</v>
      </c>
      <c r="AA35" s="126" t="e">
        <f>AVERAGE(Z35:Z38)</f>
        <v>#DIV/0!</v>
      </c>
      <c r="AB35" s="139" t="e">
        <f ca="1">[1]!BJM(D35:E38,L35:M38,0)</f>
        <v>#NAME?</v>
      </c>
    </row>
    <row r="36" spans="1:28" x14ac:dyDescent="0.2">
      <c r="A36" s="72"/>
      <c r="B36" s="72"/>
      <c r="C36" s="72">
        <v>27</v>
      </c>
      <c r="D36" s="25"/>
      <c r="E36" s="26"/>
      <c r="F36" s="26"/>
      <c r="G36" s="26"/>
      <c r="H36" s="26"/>
      <c r="I36" s="26"/>
      <c r="J36" s="27">
        <f t="shared" si="0"/>
        <v>0</v>
      </c>
      <c r="L36" s="25"/>
      <c r="M36" s="26"/>
      <c r="N36" s="26"/>
      <c r="O36" s="26"/>
      <c r="P36" s="26"/>
      <c r="Q36" s="26"/>
      <c r="R36" s="27">
        <f t="shared" si="1"/>
        <v>0</v>
      </c>
      <c r="S36" s="20"/>
      <c r="T36" s="31"/>
      <c r="U36" s="32"/>
      <c r="V36" s="32"/>
      <c r="W36" s="31"/>
      <c r="X36" s="32"/>
      <c r="Y36" s="33"/>
      <c r="Z36" s="122" t="e">
        <f t="shared" si="3"/>
        <v>#DIV/0!</v>
      </c>
      <c r="AA36" s="127"/>
      <c r="AB36" s="125"/>
    </row>
    <row r="37" spans="1:28" x14ac:dyDescent="0.2">
      <c r="A37" s="72"/>
      <c r="B37" s="72"/>
      <c r="C37" s="72">
        <v>32</v>
      </c>
      <c r="D37" s="25"/>
      <c r="E37" s="26"/>
      <c r="F37" s="26"/>
      <c r="G37" s="26"/>
      <c r="H37" s="26"/>
      <c r="I37" s="26"/>
      <c r="J37" s="27">
        <f t="shared" si="0"/>
        <v>0</v>
      </c>
      <c r="L37" s="25"/>
      <c r="M37" s="26"/>
      <c r="N37" s="26"/>
      <c r="O37" s="26"/>
      <c r="P37" s="26"/>
      <c r="Q37" s="26"/>
      <c r="R37" s="27">
        <f t="shared" si="1"/>
        <v>0</v>
      </c>
      <c r="S37" s="20"/>
      <c r="T37" s="31"/>
      <c r="U37" s="32"/>
      <c r="V37" s="32"/>
      <c r="W37" s="31"/>
      <c r="X37" s="32"/>
      <c r="Y37" s="33"/>
      <c r="Z37" s="122" t="e">
        <f t="shared" si="3"/>
        <v>#DIV/0!</v>
      </c>
      <c r="AA37" s="127"/>
      <c r="AB37" s="125"/>
    </row>
    <row r="38" spans="1:28" ht="12.75" thickBot="1" x14ac:dyDescent="0.25">
      <c r="A38" s="79"/>
      <c r="B38" s="79"/>
      <c r="C38" s="79">
        <v>37</v>
      </c>
      <c r="D38" s="25"/>
      <c r="E38" s="26"/>
      <c r="F38" s="26"/>
      <c r="G38" s="26"/>
      <c r="H38" s="26"/>
      <c r="I38" s="36"/>
      <c r="J38" s="37">
        <f t="shared" si="0"/>
        <v>0</v>
      </c>
      <c r="L38" s="35"/>
      <c r="M38" s="36"/>
      <c r="N38" s="36"/>
      <c r="O38" s="36"/>
      <c r="P38" s="36"/>
      <c r="Q38" s="36"/>
      <c r="R38" s="37">
        <f t="shared" si="1"/>
        <v>0</v>
      </c>
      <c r="S38" s="20"/>
      <c r="T38" s="41"/>
      <c r="U38" s="42"/>
      <c r="V38" s="42"/>
      <c r="W38" s="41"/>
      <c r="X38" s="42"/>
      <c r="Y38" s="43"/>
      <c r="Z38" s="123" t="e">
        <f t="shared" si="3"/>
        <v>#DIV/0!</v>
      </c>
      <c r="AA38" s="128"/>
      <c r="AB38" s="125"/>
    </row>
    <row r="39" spans="1:28" x14ac:dyDescent="0.2">
      <c r="A39" s="63" t="s">
        <v>14</v>
      </c>
      <c r="B39" s="63" t="s">
        <v>15</v>
      </c>
      <c r="C39" s="63">
        <v>22</v>
      </c>
      <c r="D39" s="14"/>
      <c r="E39" s="15"/>
      <c r="F39" s="15"/>
      <c r="G39" s="15"/>
      <c r="H39" s="15"/>
      <c r="I39" s="15"/>
      <c r="J39" s="16">
        <f t="shared" si="0"/>
        <v>0</v>
      </c>
      <c r="L39" s="14"/>
      <c r="M39" s="15"/>
      <c r="N39" s="15"/>
      <c r="O39" s="15"/>
      <c r="P39" s="15"/>
      <c r="Q39" s="15"/>
      <c r="R39" s="16">
        <f t="shared" si="1"/>
        <v>0</v>
      </c>
      <c r="S39" s="20"/>
      <c r="T39" s="21" t="e">
        <f>bdrate($D39:$D42,E39:E42,$L39:$L42,M39:M42)</f>
        <v>#VALUE!</v>
      </c>
      <c r="U39" s="22" t="e">
        <f>bdrate($D39:$D42,F39:F42,$L39:$L42,N39:N42)</f>
        <v>#VALUE!</v>
      </c>
      <c r="V39" s="22" t="e">
        <f>bdrate($D39:$D42,G39:G42,$L39:$L42,O39:O42)</f>
        <v>#VALUE!</v>
      </c>
      <c r="W39" s="44" t="e">
        <f>bdrateOld($D39:$D42,E39:E42,$L39:$L42,M39:M42)</f>
        <v>#VALUE!</v>
      </c>
      <c r="X39" s="45" t="e">
        <f>bdrateOld($D39:$D42,F39:F42,$L39:$L42,N39:N42)</f>
        <v>#VALUE!</v>
      </c>
      <c r="Y39" s="46" t="e">
        <f>bdrateOld($D39:$D42,G39:G42,$L39:$L42,O39:O42)</f>
        <v>#VALUE!</v>
      </c>
      <c r="Z39" s="122" t="e">
        <f t="shared" si="3"/>
        <v>#DIV/0!</v>
      </c>
      <c r="AA39" s="126" t="e">
        <f>AVERAGE(Z39:Z42)</f>
        <v>#DIV/0!</v>
      </c>
      <c r="AB39" s="139" t="e">
        <f ca="1">[1]!BJM(D39:E42,L39:M42,0)</f>
        <v>#NAME?</v>
      </c>
    </row>
    <row r="40" spans="1:28" x14ac:dyDescent="0.2">
      <c r="A40" s="72" t="s">
        <v>16</v>
      </c>
      <c r="B40" s="72"/>
      <c r="C40" s="72">
        <v>27</v>
      </c>
      <c r="D40" s="25"/>
      <c r="E40" s="26"/>
      <c r="F40" s="26"/>
      <c r="G40" s="26"/>
      <c r="H40" s="26"/>
      <c r="I40" s="26"/>
      <c r="J40" s="27">
        <f t="shared" si="0"/>
        <v>0</v>
      </c>
      <c r="L40" s="25"/>
      <c r="M40" s="26"/>
      <c r="N40" s="26"/>
      <c r="O40" s="26"/>
      <c r="P40" s="26"/>
      <c r="Q40" s="26"/>
      <c r="R40" s="27">
        <f t="shared" si="1"/>
        <v>0</v>
      </c>
      <c r="S40" s="20"/>
      <c r="T40" s="31"/>
      <c r="U40" s="32"/>
      <c r="V40" s="32"/>
      <c r="W40" s="31"/>
      <c r="X40" s="32"/>
      <c r="Y40" s="33"/>
      <c r="Z40" s="122" t="e">
        <f t="shared" si="3"/>
        <v>#DIV/0!</v>
      </c>
      <c r="AA40" s="127"/>
      <c r="AB40" s="125"/>
    </row>
    <row r="41" spans="1:28" x14ac:dyDescent="0.2">
      <c r="A41" s="72"/>
      <c r="B41" s="72"/>
      <c r="C41" s="72">
        <v>32</v>
      </c>
      <c r="D41" s="25"/>
      <c r="E41" s="26"/>
      <c r="F41" s="26"/>
      <c r="G41" s="26"/>
      <c r="H41" s="26"/>
      <c r="I41" s="26"/>
      <c r="J41" s="27">
        <f t="shared" si="0"/>
        <v>0</v>
      </c>
      <c r="L41" s="25"/>
      <c r="M41" s="26"/>
      <c r="N41" s="26"/>
      <c r="O41" s="26"/>
      <c r="P41" s="26"/>
      <c r="Q41" s="26"/>
      <c r="R41" s="27">
        <f t="shared" si="1"/>
        <v>0</v>
      </c>
      <c r="S41" s="20"/>
      <c r="T41" s="31"/>
      <c r="U41" s="32"/>
      <c r="V41" s="32"/>
      <c r="W41" s="31"/>
      <c r="X41" s="32"/>
      <c r="Y41" s="33"/>
      <c r="Z41" s="122" t="e">
        <f t="shared" si="3"/>
        <v>#DIV/0!</v>
      </c>
      <c r="AA41" s="127"/>
      <c r="AB41" s="125"/>
    </row>
    <row r="42" spans="1:28" ht="12.75" thickBot="1" x14ac:dyDescent="0.25">
      <c r="A42" s="72"/>
      <c r="B42" s="79"/>
      <c r="C42" s="79">
        <v>37</v>
      </c>
      <c r="D42" s="35"/>
      <c r="E42" s="36"/>
      <c r="F42" s="36"/>
      <c r="G42" s="36"/>
      <c r="H42" s="36"/>
      <c r="I42" s="36"/>
      <c r="J42" s="37">
        <f t="shared" si="0"/>
        <v>0</v>
      </c>
      <c r="L42" s="35"/>
      <c r="M42" s="36"/>
      <c r="N42" s="36"/>
      <c r="O42" s="36"/>
      <c r="P42" s="36"/>
      <c r="Q42" s="36"/>
      <c r="R42" s="37">
        <f t="shared" si="1"/>
        <v>0</v>
      </c>
      <c r="S42" s="20"/>
      <c r="T42" s="41"/>
      <c r="U42" s="42"/>
      <c r="V42" s="42"/>
      <c r="W42" s="41"/>
      <c r="X42" s="42"/>
      <c r="Y42" s="43"/>
      <c r="Z42" s="123" t="e">
        <f t="shared" si="3"/>
        <v>#DIV/0!</v>
      </c>
      <c r="AA42" s="128"/>
      <c r="AB42" s="125"/>
    </row>
    <row r="43" spans="1:28" x14ac:dyDescent="0.2">
      <c r="A43" s="72"/>
      <c r="B43" s="63" t="s">
        <v>17</v>
      </c>
      <c r="C43" s="63">
        <v>22</v>
      </c>
      <c r="D43" s="14"/>
      <c r="E43" s="15"/>
      <c r="F43" s="15"/>
      <c r="G43" s="15"/>
      <c r="H43" s="15"/>
      <c r="I43" s="15"/>
      <c r="J43" s="16">
        <f t="shared" si="0"/>
        <v>0</v>
      </c>
      <c r="L43" s="14"/>
      <c r="M43" s="15"/>
      <c r="N43" s="15"/>
      <c r="O43" s="15"/>
      <c r="P43" s="15"/>
      <c r="Q43" s="15"/>
      <c r="R43" s="16">
        <f t="shared" si="1"/>
        <v>0</v>
      </c>
      <c r="S43" s="20"/>
      <c r="T43" s="21" t="e">
        <f>bdrate($D43:$D46,E43:E46,$L43:$L46,M43:M46)</f>
        <v>#VALUE!</v>
      </c>
      <c r="U43" s="22" t="e">
        <f>bdrate($D43:$D46,F43:F46,$L43:$L46,N43:N46)</f>
        <v>#VALUE!</v>
      </c>
      <c r="V43" s="22" t="e">
        <f>bdrate($D43:$D46,G43:G46,$L43:$L46,O43:O46)</f>
        <v>#VALUE!</v>
      </c>
      <c r="W43" s="44" t="e">
        <f>bdrateOld($D43:$D46,E43:E46,$L43:$L46,M43:M46)</f>
        <v>#VALUE!</v>
      </c>
      <c r="X43" s="45" t="e">
        <f>bdrateOld($D43:$D46,F43:F46,$L43:$L46,N43:N46)</f>
        <v>#VALUE!</v>
      </c>
      <c r="Y43" s="46" t="e">
        <f>bdrateOld($D43:$D46,G43:G46,$L43:$L46,O43:O46)</f>
        <v>#VALUE!</v>
      </c>
      <c r="Z43" s="122" t="e">
        <f t="shared" si="3"/>
        <v>#DIV/0!</v>
      </c>
      <c r="AA43" s="126" t="e">
        <f>AVERAGE(Z43:Z46)</f>
        <v>#DIV/0!</v>
      </c>
      <c r="AB43" s="139" t="e">
        <f ca="1">[1]!BJM(D43:E46,L43:M46,0)</f>
        <v>#NAME?</v>
      </c>
    </row>
    <row r="44" spans="1:28" x14ac:dyDescent="0.2">
      <c r="A44" s="72"/>
      <c r="B44" s="72"/>
      <c r="C44" s="72">
        <v>27</v>
      </c>
      <c r="D44" s="25"/>
      <c r="E44" s="26"/>
      <c r="F44" s="26"/>
      <c r="G44" s="26"/>
      <c r="H44" s="26"/>
      <c r="I44" s="26"/>
      <c r="J44" s="27">
        <f t="shared" si="0"/>
        <v>0</v>
      </c>
      <c r="L44" s="25"/>
      <c r="M44" s="26"/>
      <c r="N44" s="26"/>
      <c r="O44" s="26"/>
      <c r="P44" s="26"/>
      <c r="Q44" s="26"/>
      <c r="R44" s="27">
        <f t="shared" si="1"/>
        <v>0</v>
      </c>
      <c r="S44" s="20"/>
      <c r="T44" s="31"/>
      <c r="U44" s="32"/>
      <c r="V44" s="32"/>
      <c r="W44" s="31"/>
      <c r="X44" s="32"/>
      <c r="Y44" s="33"/>
      <c r="Z44" s="122" t="e">
        <f t="shared" si="3"/>
        <v>#DIV/0!</v>
      </c>
      <c r="AA44" s="127"/>
      <c r="AB44" s="125"/>
    </row>
    <row r="45" spans="1:28" x14ac:dyDescent="0.2">
      <c r="A45" s="72"/>
      <c r="B45" s="72"/>
      <c r="C45" s="72">
        <v>32</v>
      </c>
      <c r="D45" s="25"/>
      <c r="E45" s="26"/>
      <c r="F45" s="26"/>
      <c r="G45" s="26"/>
      <c r="H45" s="26"/>
      <c r="I45" s="26"/>
      <c r="J45" s="27">
        <f t="shared" si="0"/>
        <v>0</v>
      </c>
      <c r="L45" s="25"/>
      <c r="M45" s="26"/>
      <c r="N45" s="26"/>
      <c r="O45" s="26"/>
      <c r="P45" s="26"/>
      <c r="Q45" s="26"/>
      <c r="R45" s="27">
        <f t="shared" si="1"/>
        <v>0</v>
      </c>
      <c r="S45" s="20"/>
      <c r="T45" s="31"/>
      <c r="U45" s="32"/>
      <c r="V45" s="32"/>
      <c r="W45" s="31"/>
      <c r="X45" s="32"/>
      <c r="Y45" s="33"/>
      <c r="Z45" s="122" t="e">
        <f t="shared" si="3"/>
        <v>#DIV/0!</v>
      </c>
      <c r="AA45" s="127"/>
      <c r="AB45" s="125"/>
    </row>
    <row r="46" spans="1:28" ht="12.75" thickBot="1" x14ac:dyDescent="0.25">
      <c r="A46" s="72"/>
      <c r="B46" s="79"/>
      <c r="C46" s="79">
        <v>37</v>
      </c>
      <c r="D46" s="35"/>
      <c r="E46" s="36"/>
      <c r="F46" s="36"/>
      <c r="G46" s="36"/>
      <c r="H46" s="36"/>
      <c r="I46" s="36"/>
      <c r="J46" s="37">
        <f t="shared" si="0"/>
        <v>0</v>
      </c>
      <c r="L46" s="35"/>
      <c r="M46" s="36"/>
      <c r="N46" s="36"/>
      <c r="O46" s="36"/>
      <c r="P46" s="36"/>
      <c r="Q46" s="36"/>
      <c r="R46" s="37">
        <f t="shared" si="1"/>
        <v>0</v>
      </c>
      <c r="S46" s="20"/>
      <c r="T46" s="41"/>
      <c r="U46" s="42"/>
      <c r="V46" s="42"/>
      <c r="W46" s="41"/>
      <c r="X46" s="42"/>
      <c r="Y46" s="43"/>
      <c r="Z46" s="123" t="e">
        <f t="shared" si="3"/>
        <v>#DIV/0!</v>
      </c>
      <c r="AA46" s="128"/>
      <c r="AB46" s="125"/>
    </row>
    <row r="47" spans="1:28" x14ac:dyDescent="0.2">
      <c r="A47" s="72"/>
      <c r="B47" s="63" t="s">
        <v>18</v>
      </c>
      <c r="C47" s="63">
        <v>22</v>
      </c>
      <c r="D47" s="14"/>
      <c r="E47" s="15"/>
      <c r="F47" s="15"/>
      <c r="G47" s="15"/>
      <c r="H47" s="15"/>
      <c r="I47" s="15"/>
      <c r="J47" s="16">
        <f t="shared" si="0"/>
        <v>0</v>
      </c>
      <c r="L47" s="14"/>
      <c r="M47" s="15"/>
      <c r="N47" s="15"/>
      <c r="O47" s="15"/>
      <c r="P47" s="15"/>
      <c r="Q47" s="15"/>
      <c r="R47" s="16">
        <f t="shared" si="1"/>
        <v>0</v>
      </c>
      <c r="S47" s="20"/>
      <c r="T47" s="21" t="e">
        <f>bdrate($D47:$D50,E47:E50,$L47:$L50,M47:M50)</f>
        <v>#VALUE!</v>
      </c>
      <c r="U47" s="22" t="e">
        <f>bdrate($D47:$D50,F47:F50,$L47:$L50,N47:N50)</f>
        <v>#VALUE!</v>
      </c>
      <c r="V47" s="22" t="e">
        <f>bdrate($D47:$D50,G47:G50,$L47:$L50,O47:O50)</f>
        <v>#VALUE!</v>
      </c>
      <c r="W47" s="44" t="e">
        <f>bdrateOld($D47:$D50,E47:E50,$L47:$L50,M47:M50)</f>
        <v>#VALUE!</v>
      </c>
      <c r="X47" s="45" t="e">
        <f>bdrateOld($D47:$D50,F47:F50,$L47:$L50,N47:N50)</f>
        <v>#VALUE!</v>
      </c>
      <c r="Y47" s="46" t="e">
        <f>bdrateOld($D47:$D50,G47:G50,$L47:$L50,O47:O50)</f>
        <v>#VALUE!</v>
      </c>
      <c r="Z47" s="122" t="e">
        <f t="shared" ref="Z47:Z54" si="4">(H47-P47)/H47</f>
        <v>#DIV/0!</v>
      </c>
      <c r="AA47" s="126" t="e">
        <f>AVERAGE(Z47:Z50)</f>
        <v>#DIV/0!</v>
      </c>
      <c r="AB47" s="139" t="e">
        <f ca="1">[1]!BJM(D47:E50,L47:M50,0)</f>
        <v>#NAME?</v>
      </c>
    </row>
    <row r="48" spans="1:28" x14ac:dyDescent="0.2">
      <c r="A48" s="72"/>
      <c r="B48" s="72"/>
      <c r="C48" s="72">
        <v>27</v>
      </c>
      <c r="D48" s="25"/>
      <c r="E48" s="26"/>
      <c r="F48" s="26"/>
      <c r="G48" s="26"/>
      <c r="H48" s="26"/>
      <c r="I48" s="26"/>
      <c r="J48" s="27">
        <f t="shared" si="0"/>
        <v>0</v>
      </c>
      <c r="L48" s="25"/>
      <c r="M48" s="26"/>
      <c r="N48" s="26"/>
      <c r="O48" s="26"/>
      <c r="P48" s="26"/>
      <c r="Q48" s="26"/>
      <c r="R48" s="27">
        <f t="shared" si="1"/>
        <v>0</v>
      </c>
      <c r="S48" s="20"/>
      <c r="T48" s="31"/>
      <c r="U48" s="32"/>
      <c r="V48" s="32"/>
      <c r="W48" s="31"/>
      <c r="X48" s="32"/>
      <c r="Y48" s="33"/>
      <c r="Z48" s="122" t="e">
        <f t="shared" si="4"/>
        <v>#DIV/0!</v>
      </c>
      <c r="AA48" s="127"/>
      <c r="AB48" s="125"/>
    </row>
    <row r="49" spans="1:29" x14ac:dyDescent="0.2">
      <c r="A49" s="72"/>
      <c r="B49" s="72"/>
      <c r="C49" s="72">
        <v>32</v>
      </c>
      <c r="D49" s="25"/>
      <c r="E49" s="26"/>
      <c r="F49" s="26"/>
      <c r="G49" s="26"/>
      <c r="H49" s="26"/>
      <c r="I49" s="26"/>
      <c r="J49" s="27">
        <f t="shared" si="0"/>
        <v>0</v>
      </c>
      <c r="L49" s="25"/>
      <c r="M49" s="26"/>
      <c r="N49" s="26"/>
      <c r="O49" s="26"/>
      <c r="P49" s="26"/>
      <c r="Q49" s="26"/>
      <c r="R49" s="27">
        <f t="shared" si="1"/>
        <v>0</v>
      </c>
      <c r="S49" s="20"/>
      <c r="T49" s="31"/>
      <c r="U49" s="32"/>
      <c r="V49" s="32"/>
      <c r="W49" s="31"/>
      <c r="X49" s="32"/>
      <c r="Y49" s="33"/>
      <c r="Z49" s="122" t="e">
        <f t="shared" si="4"/>
        <v>#DIV/0!</v>
      </c>
      <c r="AA49" s="127"/>
      <c r="AB49" s="125"/>
    </row>
    <row r="50" spans="1:29" ht="12.75" thickBot="1" x14ac:dyDescent="0.25">
      <c r="A50" s="72"/>
      <c r="B50" s="79"/>
      <c r="C50" s="79">
        <v>37</v>
      </c>
      <c r="D50" s="35"/>
      <c r="E50" s="36"/>
      <c r="F50" s="36"/>
      <c r="G50" s="36"/>
      <c r="H50" s="36"/>
      <c r="I50" s="36"/>
      <c r="J50" s="37">
        <f t="shared" si="0"/>
        <v>0</v>
      </c>
      <c r="L50" s="35"/>
      <c r="M50" s="36"/>
      <c r="N50" s="36"/>
      <c r="O50" s="36"/>
      <c r="P50" s="36"/>
      <c r="Q50" s="36"/>
      <c r="R50" s="37">
        <f t="shared" si="1"/>
        <v>0</v>
      </c>
      <c r="S50" s="20"/>
      <c r="T50" s="41"/>
      <c r="U50" s="42"/>
      <c r="V50" s="42"/>
      <c r="W50" s="41"/>
      <c r="X50" s="42"/>
      <c r="Y50" s="43"/>
      <c r="Z50" s="123" t="e">
        <f t="shared" si="4"/>
        <v>#DIV/0!</v>
      </c>
      <c r="AA50" s="43"/>
      <c r="AB50" s="125"/>
    </row>
    <row r="51" spans="1:29" x14ac:dyDescent="0.2">
      <c r="A51" s="72"/>
      <c r="B51" s="63" t="s">
        <v>19</v>
      </c>
      <c r="C51" s="63">
        <v>22</v>
      </c>
      <c r="D51" s="14"/>
      <c r="E51" s="15"/>
      <c r="F51" s="15"/>
      <c r="G51" s="15"/>
      <c r="H51" s="15"/>
      <c r="I51" s="15"/>
      <c r="J51" s="16">
        <f t="shared" si="0"/>
        <v>0</v>
      </c>
      <c r="L51" s="14"/>
      <c r="M51" s="15"/>
      <c r="N51" s="15"/>
      <c r="O51" s="15"/>
      <c r="P51" s="15"/>
      <c r="Q51" s="15"/>
      <c r="R51" s="16">
        <f t="shared" si="1"/>
        <v>0</v>
      </c>
      <c r="S51" s="20"/>
      <c r="T51" s="21" t="e">
        <f>bdrate($D51:$D54,E51:E54,$L51:$L54,M51:M54)</f>
        <v>#VALUE!</v>
      </c>
      <c r="U51" s="22" t="e">
        <f>bdrate($D51:$D54,F51:F54,$L51:$L54,N51:N54)</f>
        <v>#VALUE!</v>
      </c>
      <c r="V51" s="22" t="e">
        <f>bdrate($D51:$D54,G51:G54,$L51:$L54,O51:O54)</f>
        <v>#VALUE!</v>
      </c>
      <c r="W51" s="44" t="e">
        <f>bdrateOld($D51:$D54,E51:E54,$L51:$L54,M51:M54)</f>
        <v>#VALUE!</v>
      </c>
      <c r="X51" s="45" t="e">
        <f>bdrateOld($D51:$D54,F51:F54,$L51:$L54,N51:N54)</f>
        <v>#VALUE!</v>
      </c>
      <c r="Y51" s="46" t="e">
        <f>bdrateOld($D51:$D54,G51:G54,$L51:$L54,O51:O54)</f>
        <v>#VALUE!</v>
      </c>
      <c r="Z51" s="122" t="e">
        <f t="shared" si="4"/>
        <v>#DIV/0!</v>
      </c>
      <c r="AA51" s="124" t="e">
        <f>AVERAGE(Z51:Z54)</f>
        <v>#DIV/0!</v>
      </c>
      <c r="AB51" s="139" t="e">
        <f ca="1">[1]!BJM(D51:E54,L51:M54,0)</f>
        <v>#NAME?</v>
      </c>
    </row>
    <row r="52" spans="1:29" x14ac:dyDescent="0.2">
      <c r="A52" s="72"/>
      <c r="B52" s="72"/>
      <c r="C52" s="72">
        <v>27</v>
      </c>
      <c r="D52" s="25"/>
      <c r="E52" s="26"/>
      <c r="F52" s="26"/>
      <c r="G52" s="26"/>
      <c r="H52" s="26"/>
      <c r="I52" s="26"/>
      <c r="J52" s="27">
        <f t="shared" si="0"/>
        <v>0</v>
      </c>
      <c r="L52" s="25"/>
      <c r="M52" s="26"/>
      <c r="N52" s="26"/>
      <c r="O52" s="26"/>
      <c r="P52" s="26"/>
      <c r="Q52" s="26"/>
      <c r="R52" s="27">
        <f t="shared" si="1"/>
        <v>0</v>
      </c>
      <c r="S52" s="20"/>
      <c r="T52" s="31"/>
      <c r="U52" s="32"/>
      <c r="V52" s="32"/>
      <c r="W52" s="31"/>
      <c r="X52" s="32"/>
      <c r="Y52" s="33"/>
      <c r="Z52" s="122" t="e">
        <f t="shared" si="4"/>
        <v>#DIV/0!</v>
      </c>
      <c r="AA52" s="33"/>
      <c r="AB52" s="125"/>
    </row>
    <row r="53" spans="1:29" x14ac:dyDescent="0.2">
      <c r="A53" s="72"/>
      <c r="B53" s="72"/>
      <c r="C53" s="72">
        <v>32</v>
      </c>
      <c r="D53" s="25"/>
      <c r="E53" s="26"/>
      <c r="F53" s="26"/>
      <c r="G53" s="26"/>
      <c r="H53" s="26"/>
      <c r="I53" s="26"/>
      <c r="J53" s="27">
        <f t="shared" si="0"/>
        <v>0</v>
      </c>
      <c r="L53" s="25"/>
      <c r="M53" s="26"/>
      <c r="N53" s="26"/>
      <c r="O53" s="26"/>
      <c r="P53" s="26"/>
      <c r="Q53" s="26"/>
      <c r="R53" s="27">
        <f t="shared" si="1"/>
        <v>0</v>
      </c>
      <c r="S53" s="20"/>
      <c r="T53" s="31"/>
      <c r="U53" s="32"/>
      <c r="V53" s="32"/>
      <c r="W53" s="31"/>
      <c r="X53" s="32"/>
      <c r="Y53" s="33"/>
      <c r="Z53" s="122" t="e">
        <f t="shared" si="4"/>
        <v>#DIV/0!</v>
      </c>
      <c r="AA53" s="33"/>
      <c r="AB53" s="125"/>
    </row>
    <row r="54" spans="1:29" ht="12.75" thickBot="1" x14ac:dyDescent="0.25">
      <c r="A54" s="79"/>
      <c r="B54" s="79"/>
      <c r="C54" s="79">
        <v>37</v>
      </c>
      <c r="D54" s="35"/>
      <c r="E54" s="36"/>
      <c r="F54" s="36"/>
      <c r="G54" s="36"/>
      <c r="H54" s="36"/>
      <c r="I54" s="36"/>
      <c r="J54" s="37">
        <f t="shared" si="0"/>
        <v>0</v>
      </c>
      <c r="L54" s="35"/>
      <c r="M54" s="36"/>
      <c r="N54" s="36"/>
      <c r="O54" s="36"/>
      <c r="P54" s="36"/>
      <c r="Q54" s="36"/>
      <c r="R54" s="37">
        <f t="shared" si="1"/>
        <v>0</v>
      </c>
      <c r="S54" s="20"/>
      <c r="T54" s="41"/>
      <c r="U54" s="42"/>
      <c r="V54" s="42"/>
      <c r="W54" s="41"/>
      <c r="X54" s="42"/>
      <c r="Y54" s="43"/>
      <c r="Z54" s="123" t="e">
        <f t="shared" si="4"/>
        <v>#DIV/0!</v>
      </c>
      <c r="AA54" s="43"/>
      <c r="AB54" s="125"/>
    </row>
    <row r="55" spans="1:29" x14ac:dyDescent="0.2">
      <c r="A55" s="63" t="s">
        <v>20</v>
      </c>
      <c r="B55" s="63" t="s">
        <v>21</v>
      </c>
      <c r="C55" s="63">
        <v>22</v>
      </c>
      <c r="D55" s="14"/>
      <c r="E55" s="15"/>
      <c r="F55" s="15"/>
      <c r="G55" s="15"/>
      <c r="H55" s="15"/>
      <c r="I55" s="15"/>
      <c r="J55" s="16">
        <f t="shared" si="0"/>
        <v>0</v>
      </c>
      <c r="L55" s="14"/>
      <c r="M55" s="15"/>
      <c r="N55" s="15"/>
      <c r="O55" s="15"/>
      <c r="P55" s="15"/>
      <c r="Q55" s="15"/>
      <c r="R55" s="16">
        <f t="shared" si="1"/>
        <v>0</v>
      </c>
      <c r="S55" s="20"/>
      <c r="T55" s="21" t="e">
        <f>bdrate($D55:$D58,E55:E58,$L55:$L58,M55:M58)</f>
        <v>#VALUE!</v>
      </c>
      <c r="U55" s="22" t="e">
        <f>bdrate($D55:$D58,F55:F58,$L55:$L58,N55:N58)</f>
        <v>#VALUE!</v>
      </c>
      <c r="V55" s="22" t="e">
        <f>bdrate($D55:$D58,G55:G58,$L55:$L58,O55:O58)</f>
        <v>#VALUE!</v>
      </c>
      <c r="W55" s="44" t="e">
        <f>bdrateOld($D55:$D58,E55:E58,$L55:$L58,M55:M58)</f>
        <v>#VALUE!</v>
      </c>
      <c r="X55" s="45" t="e">
        <f>bdrateOld($D55:$D58,F55:F58,$L55:$L58,N55:N58)</f>
        <v>#VALUE!</v>
      </c>
      <c r="Y55" s="46" t="e">
        <f>bdrateOld($D55:$D58,G55:G58,$L55:$L58,O55:O58)</f>
        <v>#VALUE!</v>
      </c>
    </row>
    <row r="56" spans="1:29" x14ac:dyDescent="0.2">
      <c r="A56" s="72" t="s">
        <v>22</v>
      </c>
      <c r="B56" s="72"/>
      <c r="C56" s="72">
        <v>27</v>
      </c>
      <c r="D56" s="25"/>
      <c r="E56" s="26"/>
      <c r="F56" s="26"/>
      <c r="G56" s="26"/>
      <c r="H56" s="26"/>
      <c r="I56" s="26"/>
      <c r="J56" s="27">
        <f t="shared" si="0"/>
        <v>0</v>
      </c>
      <c r="L56" s="25"/>
      <c r="M56" s="26"/>
      <c r="N56" s="26"/>
      <c r="O56" s="26"/>
      <c r="P56" s="26"/>
      <c r="Q56" s="26"/>
      <c r="R56" s="27">
        <f t="shared" si="1"/>
        <v>0</v>
      </c>
      <c r="S56" s="20"/>
      <c r="T56" s="31"/>
      <c r="U56" s="32"/>
      <c r="V56" s="32"/>
      <c r="W56" s="31"/>
      <c r="X56" s="32"/>
      <c r="Y56" s="33"/>
      <c r="Z56" s="129"/>
      <c r="AA56" s="130" t="s">
        <v>96</v>
      </c>
      <c r="AB56" s="131" t="s">
        <v>97</v>
      </c>
      <c r="AC56" s="1" t="s">
        <v>90</v>
      </c>
    </row>
    <row r="57" spans="1:29" x14ac:dyDescent="0.2">
      <c r="A57" s="72"/>
      <c r="B57" s="72"/>
      <c r="C57" s="72">
        <v>32</v>
      </c>
      <c r="D57" s="25"/>
      <c r="E57" s="26"/>
      <c r="F57" s="26"/>
      <c r="G57" s="26"/>
      <c r="H57" s="26"/>
      <c r="I57" s="26"/>
      <c r="J57" s="27">
        <f t="shared" si="0"/>
        <v>0</v>
      </c>
      <c r="L57" s="25"/>
      <c r="M57" s="26"/>
      <c r="N57" s="26"/>
      <c r="O57" s="26"/>
      <c r="P57" s="26"/>
      <c r="Q57" s="26"/>
      <c r="R57" s="27">
        <f t="shared" si="1"/>
        <v>0</v>
      </c>
      <c r="S57" s="20"/>
      <c r="T57" s="31"/>
      <c r="U57" s="32"/>
      <c r="V57" s="32"/>
      <c r="W57" s="31"/>
      <c r="X57" s="32"/>
      <c r="Y57" s="33"/>
      <c r="Z57" s="132"/>
      <c r="AA57" s="133"/>
      <c r="AB57" s="134"/>
      <c r="AC57" s="1" t="e">
        <f>AVERAGE(AB3:AB7)</f>
        <v>#DIV/0!</v>
      </c>
    </row>
    <row r="58" spans="1:29" ht="12.75" thickBot="1" x14ac:dyDescent="0.25">
      <c r="A58" s="72"/>
      <c r="B58" s="79"/>
      <c r="C58" s="79">
        <v>37</v>
      </c>
      <c r="D58" s="35"/>
      <c r="E58" s="36"/>
      <c r="F58" s="36"/>
      <c r="G58" s="36"/>
      <c r="H58" s="36"/>
      <c r="I58" s="36"/>
      <c r="J58" s="37">
        <f t="shared" si="0"/>
        <v>0</v>
      </c>
      <c r="L58" s="35"/>
      <c r="M58" s="36"/>
      <c r="N58" s="36"/>
      <c r="O58" s="36"/>
      <c r="P58" s="36"/>
      <c r="Q58" s="36"/>
      <c r="R58" s="37">
        <f t="shared" si="1"/>
        <v>0</v>
      </c>
      <c r="S58" s="20"/>
      <c r="T58" s="41"/>
      <c r="U58" s="42"/>
      <c r="V58" s="42"/>
      <c r="W58" s="41"/>
      <c r="X58" s="42"/>
      <c r="Y58" s="43"/>
      <c r="Z58" s="132" t="s">
        <v>98</v>
      </c>
      <c r="AA58" s="133" t="e">
        <f>AVERAGE(T19,T23,T27,T31,T35)</f>
        <v>#VALUE!</v>
      </c>
      <c r="AB58" s="135" t="e">
        <f>AVERAGE(AA19,AA23,AA27,AA31,AA35)</f>
        <v>#DIV/0!</v>
      </c>
      <c r="AC58" s="139" t="e">
        <f ca="1">AVERAGE(AB19,AB23,AB27,AB31,AB35)</f>
        <v>#NAME?</v>
      </c>
    </row>
    <row r="59" spans="1:29" x14ac:dyDescent="0.2">
      <c r="A59" s="72"/>
      <c r="B59" s="63" t="s">
        <v>23</v>
      </c>
      <c r="C59" s="63">
        <v>22</v>
      </c>
      <c r="D59" s="14"/>
      <c r="E59" s="15"/>
      <c r="F59" s="15"/>
      <c r="G59" s="15"/>
      <c r="H59" s="15"/>
      <c r="I59" s="15"/>
      <c r="J59" s="16">
        <f t="shared" si="0"/>
        <v>0</v>
      </c>
      <c r="L59" s="14"/>
      <c r="M59" s="15"/>
      <c r="N59" s="15"/>
      <c r="O59" s="15"/>
      <c r="P59" s="15"/>
      <c r="Q59" s="15"/>
      <c r="R59" s="16">
        <f t="shared" si="1"/>
        <v>0</v>
      </c>
      <c r="S59" s="20"/>
      <c r="T59" s="21" t="e">
        <f>bdrate($D59:$D62,E59:E62,$L59:$L62,M59:M62)</f>
        <v>#VALUE!</v>
      </c>
      <c r="U59" s="22" t="e">
        <f>bdrate($D59:$D62,F59:F62,$L59:$L62,N59:N62)</f>
        <v>#VALUE!</v>
      </c>
      <c r="V59" s="22" t="e">
        <f>bdrate($D59:$D62,G59:G62,$L59:$L62,O59:O62)</f>
        <v>#VALUE!</v>
      </c>
      <c r="W59" s="44" t="e">
        <f>bdrateOld($D59:$D62,E59:E62,$L59:$L62,M59:M62)</f>
        <v>#VALUE!</v>
      </c>
      <c r="X59" s="45" t="e">
        <f>bdrateOld($D59:$D62,F59:F62,$L59:$L62,N59:N62)</f>
        <v>#VALUE!</v>
      </c>
      <c r="Y59" s="46" t="e">
        <f>bdrateOld($D59:$D62,G59:G62,$L59:$L62,O59:O62)</f>
        <v>#VALUE!</v>
      </c>
      <c r="Z59" s="129" t="s">
        <v>94</v>
      </c>
      <c r="AA59" s="136" t="e">
        <f>AVERAGE(T39,T43,T47,T51)</f>
        <v>#VALUE!</v>
      </c>
      <c r="AB59" s="137" t="e">
        <f>AVERAGE(AA39,AA43,AA47,AA51)</f>
        <v>#DIV/0!</v>
      </c>
      <c r="AC59" s="139" t="e">
        <f ca="1">AVERAGE(AB39,AB43,AB47,AB51)</f>
        <v>#NAME?</v>
      </c>
    </row>
    <row r="60" spans="1:29" x14ac:dyDescent="0.2">
      <c r="A60" s="72"/>
      <c r="B60" s="72"/>
      <c r="C60" s="72">
        <v>27</v>
      </c>
      <c r="D60" s="25"/>
      <c r="E60" s="26"/>
      <c r="F60" s="26"/>
      <c r="G60" s="26"/>
      <c r="H60" s="26"/>
      <c r="I60" s="26"/>
      <c r="J60" s="27">
        <f t="shared" si="0"/>
        <v>0</v>
      </c>
      <c r="L60" s="25"/>
      <c r="M60" s="26"/>
      <c r="N60" s="26"/>
      <c r="O60" s="26"/>
      <c r="P60" s="26"/>
      <c r="Q60" s="26"/>
      <c r="R60" s="27">
        <f t="shared" si="1"/>
        <v>0</v>
      </c>
      <c r="S60" s="20"/>
      <c r="T60" s="31"/>
      <c r="U60" s="32"/>
      <c r="V60" s="32"/>
      <c r="W60" s="31"/>
      <c r="X60" s="32"/>
      <c r="Y60" s="33"/>
      <c r="Z60" s="129" t="s">
        <v>99</v>
      </c>
      <c r="AA60" s="136" t="e">
        <f>AVERAGE(T19,T23,T27,T31,T35,T39,T43,T47,T51)</f>
        <v>#VALUE!</v>
      </c>
      <c r="AB60" s="138" t="e">
        <f>AVERAGE(AA19,AA23,AA27,AA31,AA35,AA39,AA43,AA47,AA51)</f>
        <v>#DIV/0!</v>
      </c>
      <c r="AC60" s="1" t="e">
        <f ca="1">avarage(AB3,AB7,AB19,AB23,AB27,AB31,AB35,AB39,AB43,AB47,AB51)</f>
        <v>#NAME?</v>
      </c>
    </row>
    <row r="61" spans="1:29" x14ac:dyDescent="0.2">
      <c r="A61" s="72"/>
      <c r="B61" s="72"/>
      <c r="C61" s="72">
        <v>32</v>
      </c>
      <c r="D61" s="25"/>
      <c r="E61" s="26"/>
      <c r="F61" s="26"/>
      <c r="G61" s="26"/>
      <c r="H61" s="26"/>
      <c r="I61" s="26"/>
      <c r="J61" s="27">
        <f t="shared" si="0"/>
        <v>0</v>
      </c>
      <c r="L61" s="25"/>
      <c r="M61" s="26"/>
      <c r="N61" s="26"/>
      <c r="O61" s="26"/>
      <c r="P61" s="26"/>
      <c r="Q61" s="26"/>
      <c r="R61" s="27">
        <f t="shared" si="1"/>
        <v>0</v>
      </c>
      <c r="S61" s="20"/>
      <c r="T61" s="31"/>
      <c r="U61" s="32"/>
      <c r="V61" s="32"/>
      <c r="W61" s="31"/>
      <c r="X61" s="32"/>
      <c r="Y61" s="33"/>
    </row>
    <row r="62" spans="1:29" ht="12.75" thickBot="1" x14ac:dyDescent="0.25">
      <c r="A62" s="72"/>
      <c r="B62" s="79"/>
      <c r="C62" s="79">
        <v>37</v>
      </c>
      <c r="D62" s="35"/>
      <c r="E62" s="36"/>
      <c r="F62" s="36"/>
      <c r="G62" s="36"/>
      <c r="H62" s="36"/>
      <c r="I62" s="36"/>
      <c r="J62" s="37">
        <f t="shared" si="0"/>
        <v>0</v>
      </c>
      <c r="L62" s="35"/>
      <c r="M62" s="36"/>
      <c r="N62" s="36"/>
      <c r="O62" s="36"/>
      <c r="P62" s="36"/>
      <c r="Q62" s="36"/>
      <c r="R62" s="37">
        <f t="shared" si="1"/>
        <v>0</v>
      </c>
      <c r="S62" s="20"/>
      <c r="T62" s="41"/>
      <c r="U62" s="42"/>
      <c r="V62" s="42"/>
      <c r="W62" s="41"/>
      <c r="X62" s="42"/>
      <c r="Y62" s="43"/>
    </row>
    <row r="63" spans="1:29" x14ac:dyDescent="0.2">
      <c r="A63" s="72"/>
      <c r="B63" s="63" t="s">
        <v>24</v>
      </c>
      <c r="C63" s="63">
        <v>22</v>
      </c>
      <c r="D63" s="14"/>
      <c r="E63" s="15"/>
      <c r="F63" s="15"/>
      <c r="G63" s="15"/>
      <c r="H63" s="15"/>
      <c r="I63" s="15"/>
      <c r="J63" s="16">
        <f t="shared" si="0"/>
        <v>0</v>
      </c>
      <c r="L63" s="14"/>
      <c r="M63" s="15"/>
      <c r="N63" s="15"/>
      <c r="O63" s="15"/>
      <c r="P63" s="15"/>
      <c r="Q63" s="15"/>
      <c r="R63" s="16">
        <f t="shared" si="1"/>
        <v>0</v>
      </c>
      <c r="S63" s="20"/>
      <c r="T63" s="21" t="e">
        <f>bdrate($D63:$D66,E63:E66,$L63:$L66,M63:M66)</f>
        <v>#VALUE!</v>
      </c>
      <c r="U63" s="22" t="e">
        <f>bdrate($D63:$D66,F63:F66,$L63:$L66,N63:N66)</f>
        <v>#VALUE!</v>
      </c>
      <c r="V63" s="22" t="e">
        <f>bdrate($D63:$D66,G63:G66,$L63:$L66,O63:O66)</f>
        <v>#VALUE!</v>
      </c>
      <c r="W63" s="44" t="e">
        <f>bdrateOld($D63:$D66,E63:E66,$L63:$L66,M63:M66)</f>
        <v>#VALUE!</v>
      </c>
      <c r="X63" s="45" t="e">
        <f>bdrateOld($D63:$D66,F63:F66,$L63:$L66,N63:N66)</f>
        <v>#VALUE!</v>
      </c>
      <c r="Y63" s="46" t="e">
        <f>bdrateOld($D63:$D66,G63:G66,$L63:$L66,O63:O66)</f>
        <v>#VALUE!</v>
      </c>
    </row>
    <row r="64" spans="1:29" x14ac:dyDescent="0.2">
      <c r="A64" s="72"/>
      <c r="B64" s="72"/>
      <c r="C64" s="72">
        <v>27</v>
      </c>
      <c r="D64" s="25"/>
      <c r="E64" s="26"/>
      <c r="F64" s="26"/>
      <c r="G64" s="26"/>
      <c r="H64" s="26"/>
      <c r="I64" s="26"/>
      <c r="J64" s="27">
        <f t="shared" si="0"/>
        <v>0</v>
      </c>
      <c r="L64" s="25"/>
      <c r="M64" s="26"/>
      <c r="N64" s="26"/>
      <c r="O64" s="26"/>
      <c r="P64" s="26"/>
      <c r="Q64" s="26"/>
      <c r="R64" s="27">
        <f t="shared" si="1"/>
        <v>0</v>
      </c>
      <c r="S64" s="20"/>
      <c r="T64" s="31"/>
      <c r="U64" s="32"/>
      <c r="V64" s="32"/>
      <c r="W64" s="31"/>
      <c r="X64" s="32"/>
      <c r="Y64" s="33"/>
    </row>
    <row r="65" spans="1:25" x14ac:dyDescent="0.2">
      <c r="A65" s="72"/>
      <c r="B65" s="72"/>
      <c r="C65" s="72">
        <v>32</v>
      </c>
      <c r="D65" s="25"/>
      <c r="E65" s="26"/>
      <c r="F65" s="26"/>
      <c r="G65" s="26"/>
      <c r="H65" s="26"/>
      <c r="I65" s="26"/>
      <c r="J65" s="27">
        <f t="shared" si="0"/>
        <v>0</v>
      </c>
      <c r="L65" s="25"/>
      <c r="M65" s="26"/>
      <c r="N65" s="26"/>
      <c r="O65" s="26"/>
      <c r="P65" s="26"/>
      <c r="Q65" s="26"/>
      <c r="R65" s="27">
        <f t="shared" si="1"/>
        <v>0</v>
      </c>
      <c r="S65" s="20"/>
      <c r="T65" s="31"/>
      <c r="U65" s="32"/>
      <c r="V65" s="32"/>
      <c r="W65" s="31"/>
      <c r="X65" s="32"/>
      <c r="Y65" s="33"/>
    </row>
    <row r="66" spans="1:25" ht="12.75" thickBot="1" x14ac:dyDescent="0.25">
      <c r="A66" s="72"/>
      <c r="B66" s="79"/>
      <c r="C66" s="79">
        <v>37</v>
      </c>
      <c r="D66" s="35"/>
      <c r="E66" s="36"/>
      <c r="F66" s="36"/>
      <c r="G66" s="36"/>
      <c r="H66" s="36"/>
      <c r="I66" s="36"/>
      <c r="J66" s="37">
        <f t="shared" si="0"/>
        <v>0</v>
      </c>
      <c r="L66" s="35"/>
      <c r="M66" s="36"/>
      <c r="N66" s="36"/>
      <c r="O66" s="36"/>
      <c r="P66" s="36"/>
      <c r="Q66" s="36"/>
      <c r="R66" s="37">
        <f t="shared" si="1"/>
        <v>0</v>
      </c>
      <c r="S66" s="20"/>
      <c r="T66" s="41"/>
      <c r="U66" s="42"/>
      <c r="V66" s="42"/>
      <c r="W66" s="41"/>
      <c r="X66" s="42"/>
      <c r="Y66" s="43"/>
    </row>
    <row r="67" spans="1:25" x14ac:dyDescent="0.2">
      <c r="A67" s="72"/>
      <c r="B67" s="63" t="s">
        <v>19</v>
      </c>
      <c r="C67" s="63">
        <v>22</v>
      </c>
      <c r="D67" s="14"/>
      <c r="E67" s="15"/>
      <c r="F67" s="15"/>
      <c r="G67" s="15"/>
      <c r="H67" s="15"/>
      <c r="I67" s="15"/>
      <c r="J67" s="16">
        <f t="shared" si="0"/>
        <v>0</v>
      </c>
      <c r="L67" s="14"/>
      <c r="M67" s="15"/>
      <c r="N67" s="15"/>
      <c r="O67" s="15"/>
      <c r="P67" s="15"/>
      <c r="Q67" s="15"/>
      <c r="R67" s="16">
        <f t="shared" si="1"/>
        <v>0</v>
      </c>
      <c r="S67" s="20"/>
      <c r="T67" s="21" t="e">
        <f>bdrate($D67:$D70,E67:E70,$L67:$L70,M67:M70)</f>
        <v>#VALUE!</v>
      </c>
      <c r="U67" s="22" t="e">
        <f>bdrate($D67:$D70,F67:F70,$L67:$L70,N67:N70)</f>
        <v>#VALUE!</v>
      </c>
      <c r="V67" s="22" t="e">
        <f>bdrate($D67:$D70,G67:G70,$L67:$L70,O67:O70)</f>
        <v>#VALUE!</v>
      </c>
      <c r="W67" s="44" t="e">
        <f>bdrateOld($D67:$D70,E67:E70,$L67:$L70,M67:M70)</f>
        <v>#VALUE!</v>
      </c>
      <c r="X67" s="45" t="e">
        <f>bdrateOld($D67:$D70,F67:F70,$L67:$L70,N67:N70)</f>
        <v>#VALUE!</v>
      </c>
      <c r="Y67" s="46" t="e">
        <f>bdrateOld($D67:$D70,G67:G70,$L67:$L70,O67:O70)</f>
        <v>#VALUE!</v>
      </c>
    </row>
    <row r="68" spans="1:25" x14ac:dyDescent="0.2">
      <c r="A68" s="72"/>
      <c r="B68" s="72"/>
      <c r="C68" s="72">
        <v>27</v>
      </c>
      <c r="D68" s="25"/>
      <c r="E68" s="26"/>
      <c r="F68" s="26"/>
      <c r="G68" s="26"/>
      <c r="H68" s="26"/>
      <c r="I68" s="26"/>
      <c r="J68" s="27">
        <f t="shared" ref="J68:J98" si="5">H68/3600</f>
        <v>0</v>
      </c>
      <c r="L68" s="25"/>
      <c r="M68" s="26"/>
      <c r="N68" s="26"/>
      <c r="O68" s="26"/>
      <c r="P68" s="26"/>
      <c r="Q68" s="26"/>
      <c r="R68" s="27">
        <f t="shared" ref="R68:R98" si="6">P68/3600</f>
        <v>0</v>
      </c>
      <c r="S68" s="20"/>
      <c r="T68" s="31"/>
      <c r="U68" s="32"/>
      <c r="V68" s="32"/>
      <c r="W68" s="31"/>
      <c r="X68" s="32"/>
      <c r="Y68" s="33"/>
    </row>
    <row r="69" spans="1:25" x14ac:dyDescent="0.2">
      <c r="A69" s="72"/>
      <c r="B69" s="72"/>
      <c r="C69" s="72">
        <v>32</v>
      </c>
      <c r="D69" s="25"/>
      <c r="E69" s="26"/>
      <c r="F69" s="26"/>
      <c r="G69" s="26"/>
      <c r="H69" s="26"/>
      <c r="I69" s="26"/>
      <c r="J69" s="27">
        <f t="shared" si="5"/>
        <v>0</v>
      </c>
      <c r="L69" s="25"/>
      <c r="M69" s="26"/>
      <c r="N69" s="26"/>
      <c r="O69" s="26"/>
      <c r="P69" s="26"/>
      <c r="Q69" s="26"/>
      <c r="R69" s="27">
        <f t="shared" si="6"/>
        <v>0</v>
      </c>
      <c r="S69" s="20"/>
      <c r="T69" s="31"/>
      <c r="U69" s="32"/>
      <c r="V69" s="32"/>
      <c r="W69" s="31"/>
      <c r="X69" s="32"/>
      <c r="Y69" s="33"/>
    </row>
    <row r="70" spans="1:25" ht="12.75" thickBot="1" x14ac:dyDescent="0.25">
      <c r="A70" s="79"/>
      <c r="B70" s="79"/>
      <c r="C70" s="79">
        <v>37</v>
      </c>
      <c r="D70" s="35"/>
      <c r="E70" s="36"/>
      <c r="F70" s="36"/>
      <c r="G70" s="36"/>
      <c r="H70" s="36"/>
      <c r="I70" s="36"/>
      <c r="J70" s="37">
        <f t="shared" si="5"/>
        <v>0</v>
      </c>
      <c r="L70" s="35"/>
      <c r="M70" s="36"/>
      <c r="N70" s="36"/>
      <c r="O70" s="36"/>
      <c r="P70" s="36"/>
      <c r="Q70" s="36"/>
      <c r="R70" s="37">
        <f t="shared" si="6"/>
        <v>0</v>
      </c>
      <c r="S70" s="20"/>
      <c r="T70" s="41"/>
      <c r="U70" s="42"/>
      <c r="V70" s="42"/>
      <c r="W70" s="41"/>
      <c r="X70" s="42"/>
      <c r="Y70" s="43"/>
    </row>
    <row r="71" spans="1:25" x14ac:dyDescent="0.2">
      <c r="A71" s="63" t="s">
        <v>25</v>
      </c>
      <c r="B71" s="63" t="s">
        <v>86</v>
      </c>
      <c r="C71" s="63">
        <v>22</v>
      </c>
      <c r="D71" s="14"/>
      <c r="E71" s="15"/>
      <c r="F71" s="15"/>
      <c r="G71" s="15"/>
      <c r="H71" s="15"/>
      <c r="I71" s="15"/>
      <c r="J71" s="16">
        <f t="shared" si="5"/>
        <v>0</v>
      </c>
      <c r="L71" s="14"/>
      <c r="M71" s="15"/>
      <c r="N71" s="15"/>
      <c r="O71" s="15"/>
      <c r="P71" s="15"/>
      <c r="Q71" s="15"/>
      <c r="R71" s="16">
        <f t="shared" si="6"/>
        <v>0</v>
      </c>
      <c r="S71" s="20"/>
      <c r="T71" s="21" t="e">
        <f>bdrate($D71:$D74,E71:E74,$L71:$L74,M71:M74)</f>
        <v>#VALUE!</v>
      </c>
      <c r="U71" s="22" t="e">
        <f>bdrate($D71:$D74,F71:F74,$L71:$L74,N71:N74)</f>
        <v>#VALUE!</v>
      </c>
      <c r="V71" s="22" t="e">
        <f>bdrate($D71:$D74,G71:G74,$L71:$L74,O71:O74)</f>
        <v>#VALUE!</v>
      </c>
      <c r="W71" s="44" t="e">
        <f>bdrateOld($D71:$D74,E71:E74,$L71:$L74,M71:M74)</f>
        <v>#VALUE!</v>
      </c>
      <c r="X71" s="45" t="e">
        <f>bdrateOld($D71:$D74,F71:F74,$L71:$L74,N71:N74)</f>
        <v>#VALUE!</v>
      </c>
      <c r="Y71" s="46" t="e">
        <f>bdrateOld($D71:$D74,G71:G74,$L71:$L74,O71:O74)</f>
        <v>#VALUE!</v>
      </c>
    </row>
    <row r="72" spans="1:25" x14ac:dyDescent="0.2">
      <c r="A72" s="72" t="s">
        <v>26</v>
      </c>
      <c r="B72" s="72"/>
      <c r="C72" s="72">
        <v>27</v>
      </c>
      <c r="D72" s="25"/>
      <c r="E72" s="26"/>
      <c r="F72" s="26"/>
      <c r="G72" s="26"/>
      <c r="H72" s="26"/>
      <c r="I72" s="26"/>
      <c r="J72" s="27">
        <f t="shared" si="5"/>
        <v>0</v>
      </c>
      <c r="L72" s="25"/>
      <c r="M72" s="26"/>
      <c r="N72" s="26"/>
      <c r="O72" s="26"/>
      <c r="P72" s="26"/>
      <c r="Q72" s="26"/>
      <c r="R72" s="27">
        <f t="shared" si="6"/>
        <v>0</v>
      </c>
      <c r="S72" s="20"/>
      <c r="T72" s="31"/>
      <c r="U72" s="32"/>
      <c r="V72" s="32"/>
      <c r="W72" s="31"/>
      <c r="X72" s="32"/>
      <c r="Y72" s="33"/>
    </row>
    <row r="73" spans="1:25" x14ac:dyDescent="0.2">
      <c r="A73" s="72"/>
      <c r="B73" s="72"/>
      <c r="C73" s="72">
        <v>32</v>
      </c>
      <c r="D73" s="25"/>
      <c r="E73" s="26"/>
      <c r="F73" s="26"/>
      <c r="G73" s="26"/>
      <c r="H73" s="26"/>
      <c r="I73" s="26"/>
      <c r="J73" s="27">
        <f t="shared" si="5"/>
        <v>0</v>
      </c>
      <c r="L73" s="25"/>
      <c r="M73" s="26"/>
      <c r="N73" s="26"/>
      <c r="O73" s="26"/>
      <c r="P73" s="26"/>
      <c r="Q73" s="26"/>
      <c r="R73" s="27">
        <f t="shared" si="6"/>
        <v>0</v>
      </c>
      <c r="S73" s="20"/>
      <c r="T73" s="31"/>
      <c r="U73" s="32"/>
      <c r="V73" s="32"/>
      <c r="W73" s="31"/>
      <c r="X73" s="32"/>
      <c r="Y73" s="33"/>
    </row>
    <row r="74" spans="1:25" ht="12.75" thickBot="1" x14ac:dyDescent="0.25">
      <c r="A74" s="72"/>
      <c r="B74" s="79"/>
      <c r="C74" s="79">
        <v>37</v>
      </c>
      <c r="D74" s="35"/>
      <c r="E74" s="36"/>
      <c r="F74" s="36"/>
      <c r="G74" s="36"/>
      <c r="H74" s="36"/>
      <c r="I74" s="36"/>
      <c r="J74" s="37">
        <f t="shared" si="5"/>
        <v>0</v>
      </c>
      <c r="L74" s="35"/>
      <c r="M74" s="36"/>
      <c r="N74" s="36"/>
      <c r="O74" s="36"/>
      <c r="P74" s="36"/>
      <c r="Q74" s="36"/>
      <c r="R74" s="37">
        <f t="shared" si="6"/>
        <v>0</v>
      </c>
      <c r="S74" s="20"/>
      <c r="T74" s="41"/>
      <c r="U74" s="42"/>
      <c r="V74" s="42"/>
      <c r="W74" s="41"/>
      <c r="X74" s="42"/>
      <c r="Y74" s="43"/>
    </row>
    <row r="75" spans="1:25" x14ac:dyDescent="0.2">
      <c r="A75" s="72"/>
      <c r="B75" s="63" t="s">
        <v>87</v>
      </c>
      <c r="C75" s="63">
        <v>22</v>
      </c>
      <c r="D75" s="14"/>
      <c r="E75" s="15"/>
      <c r="F75" s="15"/>
      <c r="G75" s="15"/>
      <c r="H75" s="15"/>
      <c r="I75" s="15"/>
      <c r="J75" s="16">
        <f t="shared" si="5"/>
        <v>0</v>
      </c>
      <c r="L75" s="14"/>
      <c r="M75" s="15"/>
      <c r="N75" s="15"/>
      <c r="O75" s="15"/>
      <c r="P75" s="15"/>
      <c r="Q75" s="15"/>
      <c r="R75" s="16">
        <f t="shared" si="6"/>
        <v>0</v>
      </c>
      <c r="S75" s="20"/>
      <c r="T75" s="21" t="e">
        <f>bdrate($D75:$D78,E75:E78,$L75:$L78,M75:M78)</f>
        <v>#VALUE!</v>
      </c>
      <c r="U75" s="22" t="e">
        <f>bdrate($D75:$D78,F75:F78,$L75:$L78,N75:N78)</f>
        <v>#VALUE!</v>
      </c>
      <c r="V75" s="22" t="e">
        <f>bdrate($D75:$D78,G75:G78,$L75:$L78,O75:O78)</f>
        <v>#VALUE!</v>
      </c>
      <c r="W75" s="44" t="e">
        <f>bdrateOld($D75:$D78,E75:E78,$L75:$L78,M75:M78)</f>
        <v>#VALUE!</v>
      </c>
      <c r="X75" s="45" t="e">
        <f>bdrateOld($D75:$D78,F75:F78,$L75:$L78,N75:N78)</f>
        <v>#VALUE!</v>
      </c>
      <c r="Y75" s="46" t="e">
        <f>bdrateOld($D75:$D78,G75:G78,$L75:$L78,O75:O78)</f>
        <v>#VALUE!</v>
      </c>
    </row>
    <row r="76" spans="1:25" x14ac:dyDescent="0.2">
      <c r="A76" s="72"/>
      <c r="B76" s="72"/>
      <c r="C76" s="72">
        <v>27</v>
      </c>
      <c r="D76" s="25"/>
      <c r="E76" s="26"/>
      <c r="F76" s="26"/>
      <c r="G76" s="26"/>
      <c r="H76" s="26"/>
      <c r="I76" s="26"/>
      <c r="J76" s="27">
        <f t="shared" si="5"/>
        <v>0</v>
      </c>
      <c r="L76" s="25"/>
      <c r="M76" s="26"/>
      <c r="N76" s="26"/>
      <c r="O76" s="26"/>
      <c r="P76" s="26"/>
      <c r="Q76" s="26"/>
      <c r="R76" s="27">
        <f t="shared" si="6"/>
        <v>0</v>
      </c>
      <c r="S76" s="20"/>
      <c r="T76" s="31"/>
      <c r="U76" s="32"/>
      <c r="V76" s="32"/>
      <c r="W76" s="31"/>
      <c r="X76" s="32"/>
      <c r="Y76" s="33"/>
    </row>
    <row r="77" spans="1:25" x14ac:dyDescent="0.2">
      <c r="A77" s="72"/>
      <c r="B77" s="72"/>
      <c r="C77" s="72">
        <v>32</v>
      </c>
      <c r="D77" s="25"/>
      <c r="E77" s="26"/>
      <c r="F77" s="26"/>
      <c r="G77" s="26"/>
      <c r="H77" s="26"/>
      <c r="I77" s="26"/>
      <c r="J77" s="27">
        <f t="shared" si="5"/>
        <v>0</v>
      </c>
      <c r="L77" s="25"/>
      <c r="M77" s="26"/>
      <c r="N77" s="26"/>
      <c r="O77" s="26"/>
      <c r="P77" s="26"/>
      <c r="Q77" s="26"/>
      <c r="R77" s="27">
        <f t="shared" si="6"/>
        <v>0</v>
      </c>
      <c r="S77" s="20"/>
      <c r="T77" s="31"/>
      <c r="U77" s="32"/>
      <c r="V77" s="32"/>
      <c r="W77" s="31"/>
      <c r="X77" s="32"/>
      <c r="Y77" s="33"/>
    </row>
    <row r="78" spans="1:25" ht="12.75" thickBot="1" x14ac:dyDescent="0.25">
      <c r="A78" s="72"/>
      <c r="B78" s="79"/>
      <c r="C78" s="79">
        <v>37</v>
      </c>
      <c r="D78" s="35"/>
      <c r="E78" s="36"/>
      <c r="F78" s="36"/>
      <c r="G78" s="36"/>
      <c r="H78" s="36"/>
      <c r="I78" s="36"/>
      <c r="J78" s="37">
        <f t="shared" si="5"/>
        <v>0</v>
      </c>
      <c r="L78" s="35"/>
      <c r="M78" s="36"/>
      <c r="N78" s="36"/>
      <c r="O78" s="36"/>
      <c r="P78" s="36"/>
      <c r="Q78" s="36"/>
      <c r="R78" s="37">
        <f t="shared" si="6"/>
        <v>0</v>
      </c>
      <c r="S78" s="20"/>
      <c r="T78" s="41"/>
      <c r="U78" s="42"/>
      <c r="V78" s="42"/>
      <c r="W78" s="41"/>
      <c r="X78" s="42"/>
      <c r="Y78" s="43"/>
    </row>
    <row r="79" spans="1:25" x14ac:dyDescent="0.2">
      <c r="A79" s="72"/>
      <c r="B79" s="63" t="s">
        <v>88</v>
      </c>
      <c r="C79" s="63">
        <v>22</v>
      </c>
      <c r="D79" s="14"/>
      <c r="E79" s="15"/>
      <c r="F79" s="15"/>
      <c r="G79" s="15"/>
      <c r="H79" s="15"/>
      <c r="I79" s="15"/>
      <c r="J79" s="16">
        <f t="shared" si="5"/>
        <v>0</v>
      </c>
      <c r="L79" s="14"/>
      <c r="M79" s="15"/>
      <c r="N79" s="15"/>
      <c r="O79" s="15"/>
      <c r="P79" s="15"/>
      <c r="Q79" s="15"/>
      <c r="R79" s="16">
        <f t="shared" si="6"/>
        <v>0</v>
      </c>
      <c r="S79" s="20"/>
      <c r="T79" s="21" t="e">
        <f>bdrate($D79:$D82,E79:E82,$L79:$L82,M79:M82)</f>
        <v>#VALUE!</v>
      </c>
      <c r="U79" s="22" t="e">
        <f>bdrate($D79:$D82,F79:F82,$L79:$L82,N79:N82)</f>
        <v>#VALUE!</v>
      </c>
      <c r="V79" s="22" t="e">
        <f>bdrate($D79:$D82,G79:G82,$L79:$L82,O79:O82)</f>
        <v>#VALUE!</v>
      </c>
      <c r="W79" s="44" t="e">
        <f>bdrateOld($D79:$D82,E79:E82,$L79:$L82,M79:M82)</f>
        <v>#VALUE!</v>
      </c>
      <c r="X79" s="45" t="e">
        <f>bdrateOld($D79:$D82,F79:F82,$L79:$L82,N79:N82)</f>
        <v>#VALUE!</v>
      </c>
      <c r="Y79" s="46" t="e">
        <f>bdrateOld($D79:$D82,G79:G82,$L79:$L82,O79:O82)</f>
        <v>#VALUE!</v>
      </c>
    </row>
    <row r="80" spans="1:25" x14ac:dyDescent="0.2">
      <c r="A80" s="72"/>
      <c r="B80" s="72"/>
      <c r="C80" s="72">
        <v>27</v>
      </c>
      <c r="D80" s="25"/>
      <c r="E80" s="26"/>
      <c r="F80" s="26"/>
      <c r="G80" s="26"/>
      <c r="H80" s="26"/>
      <c r="I80" s="26"/>
      <c r="J80" s="27">
        <f t="shared" si="5"/>
        <v>0</v>
      </c>
      <c r="L80" s="25"/>
      <c r="M80" s="26"/>
      <c r="N80" s="26"/>
      <c r="O80" s="26"/>
      <c r="P80" s="26"/>
      <c r="Q80" s="26"/>
      <c r="R80" s="27">
        <f t="shared" si="6"/>
        <v>0</v>
      </c>
      <c r="S80" s="20"/>
      <c r="T80" s="31"/>
      <c r="U80" s="32"/>
      <c r="V80" s="32"/>
      <c r="W80" s="31"/>
      <c r="X80" s="32"/>
      <c r="Y80" s="33"/>
    </row>
    <row r="81" spans="1:25" x14ac:dyDescent="0.2">
      <c r="A81" s="72"/>
      <c r="B81" s="72"/>
      <c r="C81" s="72">
        <v>32</v>
      </c>
      <c r="D81" s="25"/>
      <c r="E81" s="26"/>
      <c r="F81" s="26"/>
      <c r="G81" s="26"/>
      <c r="H81" s="26"/>
      <c r="I81" s="26"/>
      <c r="J81" s="27">
        <f t="shared" si="5"/>
        <v>0</v>
      </c>
      <c r="L81" s="25"/>
      <c r="M81" s="26"/>
      <c r="N81" s="26"/>
      <c r="O81" s="26"/>
      <c r="P81" s="26"/>
      <c r="Q81" s="26"/>
      <c r="R81" s="27">
        <f t="shared" si="6"/>
        <v>0</v>
      </c>
      <c r="S81" s="20"/>
      <c r="T81" s="31"/>
      <c r="U81" s="32"/>
      <c r="V81" s="32"/>
      <c r="W81" s="31"/>
      <c r="X81" s="32"/>
      <c r="Y81" s="33"/>
    </row>
    <row r="82" spans="1:25" ht="12.75" thickBot="1" x14ac:dyDescent="0.25">
      <c r="A82" s="79"/>
      <c r="B82" s="79"/>
      <c r="C82" s="79">
        <v>37</v>
      </c>
      <c r="D82" s="35"/>
      <c r="E82" s="36"/>
      <c r="F82" s="36"/>
      <c r="G82" s="36"/>
      <c r="H82" s="36"/>
      <c r="I82" s="36"/>
      <c r="J82" s="37">
        <f t="shared" si="5"/>
        <v>0</v>
      </c>
      <c r="L82" s="35"/>
      <c r="M82" s="36"/>
      <c r="N82" s="36"/>
      <c r="O82" s="36"/>
      <c r="P82" s="36"/>
      <c r="Q82" s="36"/>
      <c r="R82" s="37">
        <f t="shared" si="6"/>
        <v>0</v>
      </c>
      <c r="S82" s="20"/>
      <c r="T82" s="41"/>
      <c r="U82" s="42"/>
      <c r="V82" s="42"/>
      <c r="W82" s="41"/>
      <c r="X82" s="42"/>
      <c r="Y82" s="43"/>
    </row>
    <row r="83" spans="1:25" x14ac:dyDescent="0.2">
      <c r="A83" s="63" t="s">
        <v>61</v>
      </c>
      <c r="B83" s="63" t="s">
        <v>62</v>
      </c>
      <c r="C83" s="63">
        <v>22</v>
      </c>
      <c r="D83" s="14"/>
      <c r="E83" s="15"/>
      <c r="F83" s="15"/>
      <c r="G83" s="15"/>
      <c r="H83" s="15"/>
      <c r="I83" s="15"/>
      <c r="J83" s="16">
        <f t="shared" si="5"/>
        <v>0</v>
      </c>
      <c r="L83" s="14"/>
      <c r="M83" s="15"/>
      <c r="N83" s="15"/>
      <c r="O83" s="15"/>
      <c r="P83" s="15"/>
      <c r="Q83" s="15"/>
      <c r="R83" s="16">
        <f t="shared" si="6"/>
        <v>0</v>
      </c>
      <c r="S83" s="20"/>
      <c r="T83" s="21" t="e">
        <f>bdrate($D83:$D86,E83:E86,$L83:$L86,M83:M86)</f>
        <v>#VALUE!</v>
      </c>
      <c r="U83" s="22" t="e">
        <f>bdrate($D83:$D86,F83:F86,$L83:$L86,N83:N86)</f>
        <v>#VALUE!</v>
      </c>
      <c r="V83" s="22" t="e">
        <f>bdrate($D83:$D86,G83:G86,$L83:$L86,O83:O86)</f>
        <v>#VALUE!</v>
      </c>
      <c r="W83" s="44" t="e">
        <f>bdrateOld($D83:$D86,E83:E86,$L83:$L86,M83:M86)</f>
        <v>#VALUE!</v>
      </c>
      <c r="X83" s="45" t="e">
        <f>bdrateOld($D83:$D86,F83:F86,$L83:$L86,N83:N86)</f>
        <v>#VALUE!</v>
      </c>
      <c r="Y83" s="46" t="e">
        <f>bdrateOld($D83:$D86,G83:G86,$L83:$L86,O83:O86)</f>
        <v>#VALUE!</v>
      </c>
    </row>
    <row r="84" spans="1:25" x14ac:dyDescent="0.2">
      <c r="A84" s="72"/>
      <c r="B84" s="72"/>
      <c r="C84" s="72">
        <v>27</v>
      </c>
      <c r="D84" s="25"/>
      <c r="E84" s="26"/>
      <c r="F84" s="26"/>
      <c r="G84" s="26"/>
      <c r="H84" s="26"/>
      <c r="I84" s="26"/>
      <c r="J84" s="27">
        <f t="shared" si="5"/>
        <v>0</v>
      </c>
      <c r="L84" s="25"/>
      <c r="M84" s="26"/>
      <c r="N84" s="26"/>
      <c r="O84" s="26"/>
      <c r="P84" s="26"/>
      <c r="Q84" s="26"/>
      <c r="R84" s="27">
        <f t="shared" si="6"/>
        <v>0</v>
      </c>
      <c r="S84" s="20"/>
      <c r="T84" s="31"/>
      <c r="U84" s="32"/>
      <c r="V84" s="32"/>
      <c r="W84" s="31"/>
      <c r="X84" s="32"/>
      <c r="Y84" s="33"/>
    </row>
    <row r="85" spans="1:25" x14ac:dyDescent="0.2">
      <c r="A85" s="72"/>
      <c r="B85" s="72"/>
      <c r="C85" s="72">
        <v>32</v>
      </c>
      <c r="D85" s="25"/>
      <c r="E85" s="26"/>
      <c r="F85" s="26"/>
      <c r="G85" s="26"/>
      <c r="H85" s="26"/>
      <c r="I85" s="26"/>
      <c r="J85" s="27">
        <f t="shared" si="5"/>
        <v>0</v>
      </c>
      <c r="L85" s="25"/>
      <c r="M85" s="26"/>
      <c r="N85" s="26"/>
      <c r="O85" s="26"/>
      <c r="P85" s="26"/>
      <c r="Q85" s="26"/>
      <c r="R85" s="27">
        <f t="shared" si="6"/>
        <v>0</v>
      </c>
      <c r="S85" s="20"/>
      <c r="T85" s="31"/>
      <c r="U85" s="32"/>
      <c r="V85" s="32"/>
      <c r="W85" s="31"/>
      <c r="X85" s="32"/>
      <c r="Y85" s="33"/>
    </row>
    <row r="86" spans="1:25" ht="12.75" thickBot="1" x14ac:dyDescent="0.25">
      <c r="A86" s="72"/>
      <c r="B86" s="79"/>
      <c r="C86" s="79">
        <v>37</v>
      </c>
      <c r="D86" s="35"/>
      <c r="E86" s="36"/>
      <c r="F86" s="36"/>
      <c r="G86" s="36"/>
      <c r="H86" s="36"/>
      <c r="I86" s="36"/>
      <c r="J86" s="37">
        <f t="shared" si="5"/>
        <v>0</v>
      </c>
      <c r="L86" s="35"/>
      <c r="M86" s="36"/>
      <c r="N86" s="36"/>
      <c r="O86" s="36"/>
      <c r="P86" s="36"/>
      <c r="Q86" s="36"/>
      <c r="R86" s="37">
        <f t="shared" si="6"/>
        <v>0</v>
      </c>
      <c r="S86" s="20"/>
      <c r="T86" s="41"/>
      <c r="U86" s="42"/>
      <c r="V86" s="42"/>
      <c r="W86" s="41"/>
      <c r="X86" s="42"/>
      <c r="Y86" s="43"/>
    </row>
    <row r="87" spans="1:25" x14ac:dyDescent="0.2">
      <c r="A87" s="72"/>
      <c r="B87" s="63" t="s">
        <v>63</v>
      </c>
      <c r="C87" s="63">
        <v>22</v>
      </c>
      <c r="D87" s="14"/>
      <c r="E87" s="15"/>
      <c r="F87" s="15"/>
      <c r="G87" s="15"/>
      <c r="H87" s="15"/>
      <c r="I87" s="15"/>
      <c r="J87" s="16">
        <f t="shared" si="5"/>
        <v>0</v>
      </c>
      <c r="L87" s="14"/>
      <c r="M87" s="15"/>
      <c r="N87" s="15"/>
      <c r="O87" s="15"/>
      <c r="P87" s="15"/>
      <c r="Q87" s="15"/>
      <c r="R87" s="16">
        <f t="shared" si="6"/>
        <v>0</v>
      </c>
      <c r="S87" s="20"/>
      <c r="T87" s="21" t="e">
        <f>bdrate($D87:$D90,E87:E90,$L87:$L90,M87:M90)</f>
        <v>#VALUE!</v>
      </c>
      <c r="U87" s="22" t="e">
        <f>bdrate($D87:$D90,F87:F90,$L87:$L90,N87:N90)</f>
        <v>#VALUE!</v>
      </c>
      <c r="V87" s="22" t="e">
        <f>bdrate($D87:$D90,G87:G90,$L87:$L90,O87:O90)</f>
        <v>#VALUE!</v>
      </c>
      <c r="W87" s="44" t="e">
        <f>bdrateOld($D87:$D90,E87:E90,$L87:$L90,M87:M90)</f>
        <v>#VALUE!</v>
      </c>
      <c r="X87" s="45" t="e">
        <f>bdrateOld($D87:$D90,F87:F90,$L87:$L90,N87:N90)</f>
        <v>#VALUE!</v>
      </c>
      <c r="Y87" s="46" t="e">
        <f>bdrateOld($D87:$D90,G87:G90,$L87:$L90,O87:O90)</f>
        <v>#VALUE!</v>
      </c>
    </row>
    <row r="88" spans="1:25" x14ac:dyDescent="0.2">
      <c r="A88" s="72"/>
      <c r="B88" s="72"/>
      <c r="C88" s="72">
        <v>27</v>
      </c>
      <c r="D88" s="25"/>
      <c r="E88" s="26"/>
      <c r="F88" s="26"/>
      <c r="G88" s="26"/>
      <c r="H88" s="26"/>
      <c r="I88" s="26"/>
      <c r="J88" s="27">
        <f t="shared" si="5"/>
        <v>0</v>
      </c>
      <c r="L88" s="25"/>
      <c r="M88" s="26"/>
      <c r="N88" s="26"/>
      <c r="O88" s="26"/>
      <c r="P88" s="26"/>
      <c r="Q88" s="26"/>
      <c r="R88" s="27">
        <f t="shared" si="6"/>
        <v>0</v>
      </c>
      <c r="S88" s="20"/>
      <c r="T88" s="31"/>
      <c r="U88" s="32"/>
      <c r="V88" s="32"/>
      <c r="W88" s="31"/>
      <c r="X88" s="32"/>
      <c r="Y88" s="33"/>
    </row>
    <row r="89" spans="1:25" x14ac:dyDescent="0.2">
      <c r="A89" s="72"/>
      <c r="B89" s="72"/>
      <c r="C89" s="72">
        <v>32</v>
      </c>
      <c r="D89" s="25"/>
      <c r="E89" s="26"/>
      <c r="F89" s="26"/>
      <c r="G89" s="26"/>
      <c r="H89" s="26"/>
      <c r="I89" s="26"/>
      <c r="J89" s="27">
        <f t="shared" si="5"/>
        <v>0</v>
      </c>
      <c r="L89" s="25"/>
      <c r="M89" s="26"/>
      <c r="N89" s="26"/>
      <c r="O89" s="26"/>
      <c r="P89" s="26"/>
      <c r="Q89" s="26"/>
      <c r="R89" s="27">
        <f t="shared" si="6"/>
        <v>0</v>
      </c>
      <c r="S89" s="20"/>
      <c r="T89" s="31"/>
      <c r="U89" s="32"/>
      <c r="V89" s="32"/>
      <c r="W89" s="31"/>
      <c r="X89" s="32"/>
      <c r="Y89" s="33"/>
    </row>
    <row r="90" spans="1:25" ht="12.75" thickBot="1" x14ac:dyDescent="0.25">
      <c r="A90" s="72"/>
      <c r="B90" s="79"/>
      <c r="C90" s="79">
        <v>37</v>
      </c>
      <c r="D90" s="35"/>
      <c r="E90" s="36"/>
      <c r="F90" s="36"/>
      <c r="G90" s="36"/>
      <c r="H90" s="36"/>
      <c r="I90" s="36"/>
      <c r="J90" s="37">
        <f t="shared" si="5"/>
        <v>0</v>
      </c>
      <c r="L90" s="35"/>
      <c r="M90" s="36"/>
      <c r="N90" s="36"/>
      <c r="O90" s="36"/>
      <c r="P90" s="36"/>
      <c r="Q90" s="36"/>
      <c r="R90" s="37">
        <f t="shared" si="6"/>
        <v>0</v>
      </c>
      <c r="S90" s="20"/>
      <c r="T90" s="41"/>
      <c r="U90" s="42"/>
      <c r="V90" s="42"/>
      <c r="W90" s="41"/>
      <c r="X90" s="42"/>
      <c r="Y90" s="43"/>
    </row>
    <row r="91" spans="1:25" x14ac:dyDescent="0.2">
      <c r="A91" s="72"/>
      <c r="B91" s="63" t="s">
        <v>64</v>
      </c>
      <c r="C91" s="63">
        <v>22</v>
      </c>
      <c r="D91" s="14"/>
      <c r="E91" s="15"/>
      <c r="F91" s="15"/>
      <c r="G91" s="15"/>
      <c r="H91" s="15"/>
      <c r="I91" s="15"/>
      <c r="J91" s="16">
        <f t="shared" si="5"/>
        <v>0</v>
      </c>
      <c r="L91" s="14"/>
      <c r="M91" s="15"/>
      <c r="N91" s="15"/>
      <c r="O91" s="15"/>
      <c r="P91" s="15"/>
      <c r="Q91" s="15"/>
      <c r="R91" s="16">
        <f t="shared" si="6"/>
        <v>0</v>
      </c>
      <c r="S91" s="20"/>
      <c r="T91" s="21" t="e">
        <f>bdrate($D91:$D94,E91:E94,$L91:$L94,M91:M94)</f>
        <v>#VALUE!</v>
      </c>
      <c r="U91" s="22" t="e">
        <f>bdrate($D91:$D94,F91:F94,$L91:$L94,N91:N94)</f>
        <v>#VALUE!</v>
      </c>
      <c r="V91" s="22" t="e">
        <f>bdrate($D91:$D94,G91:G94,$L91:$L94,O91:O94)</f>
        <v>#VALUE!</v>
      </c>
      <c r="W91" s="44" t="e">
        <f>bdrateOld($D91:$D94,E91:E94,$L91:$L94,M91:M94)</f>
        <v>#VALUE!</v>
      </c>
      <c r="X91" s="45" t="e">
        <f>bdrateOld($D91:$D94,F91:F94,$L91:$L94,N91:N94)</f>
        <v>#VALUE!</v>
      </c>
      <c r="Y91" s="46" t="e">
        <f>bdrateOld($D91:$D94,G91:G94,$L91:$L94,O91:O94)</f>
        <v>#VALUE!</v>
      </c>
    </row>
    <row r="92" spans="1:25" x14ac:dyDescent="0.2">
      <c r="A92" s="72"/>
      <c r="B92" s="72"/>
      <c r="C92" s="72">
        <v>27</v>
      </c>
      <c r="D92" s="25"/>
      <c r="E92" s="26"/>
      <c r="F92" s="26"/>
      <c r="G92" s="26"/>
      <c r="H92" s="26"/>
      <c r="I92" s="26"/>
      <c r="J92" s="27">
        <f t="shared" si="5"/>
        <v>0</v>
      </c>
      <c r="L92" s="25"/>
      <c r="M92" s="26"/>
      <c r="N92" s="26"/>
      <c r="O92" s="26"/>
      <c r="P92" s="26"/>
      <c r="Q92" s="26"/>
      <c r="R92" s="27">
        <f t="shared" si="6"/>
        <v>0</v>
      </c>
      <c r="S92" s="20"/>
      <c r="T92" s="31"/>
      <c r="U92" s="32"/>
      <c r="V92" s="32"/>
      <c r="W92" s="31"/>
      <c r="X92" s="32"/>
      <c r="Y92" s="33"/>
    </row>
    <row r="93" spans="1:25" x14ac:dyDescent="0.2">
      <c r="A93" s="72"/>
      <c r="B93" s="72"/>
      <c r="C93" s="72">
        <v>32</v>
      </c>
      <c r="D93" s="25"/>
      <c r="E93" s="26"/>
      <c r="F93" s="26"/>
      <c r="G93" s="26"/>
      <c r="H93" s="26"/>
      <c r="I93" s="26"/>
      <c r="J93" s="27">
        <f t="shared" si="5"/>
        <v>0</v>
      </c>
      <c r="L93" s="25"/>
      <c r="M93" s="26"/>
      <c r="N93" s="26"/>
      <c r="O93" s="26"/>
      <c r="P93" s="26"/>
      <c r="Q93" s="26"/>
      <c r="R93" s="27">
        <f t="shared" si="6"/>
        <v>0</v>
      </c>
      <c r="S93" s="20"/>
      <c r="T93" s="31"/>
      <c r="U93" s="32"/>
      <c r="V93" s="32"/>
      <c r="W93" s="31"/>
      <c r="X93" s="32"/>
      <c r="Y93" s="33"/>
    </row>
    <row r="94" spans="1:25" ht="12.75" thickBot="1" x14ac:dyDescent="0.25">
      <c r="A94" s="72"/>
      <c r="B94" s="79"/>
      <c r="C94" s="79">
        <v>37</v>
      </c>
      <c r="D94" s="35"/>
      <c r="E94" s="36"/>
      <c r="F94" s="36"/>
      <c r="G94" s="36"/>
      <c r="H94" s="36"/>
      <c r="I94" s="36"/>
      <c r="J94" s="37">
        <f t="shared" si="5"/>
        <v>0</v>
      </c>
      <c r="L94" s="35"/>
      <c r="M94" s="36"/>
      <c r="N94" s="36"/>
      <c r="O94" s="36"/>
      <c r="P94" s="36"/>
      <c r="Q94" s="36"/>
      <c r="R94" s="37">
        <f t="shared" si="6"/>
        <v>0</v>
      </c>
      <c r="S94" s="20"/>
      <c r="T94" s="41"/>
      <c r="U94" s="42"/>
      <c r="V94" s="42"/>
      <c r="W94" s="41"/>
      <c r="X94" s="42"/>
      <c r="Y94" s="43"/>
    </row>
    <row r="95" spans="1:25" x14ac:dyDescent="0.2">
      <c r="A95" s="72"/>
      <c r="B95" s="63" t="s">
        <v>65</v>
      </c>
      <c r="C95" s="63">
        <v>22</v>
      </c>
      <c r="D95" s="14"/>
      <c r="E95" s="15"/>
      <c r="F95" s="15"/>
      <c r="G95" s="15"/>
      <c r="H95" s="15"/>
      <c r="I95" s="15"/>
      <c r="J95" s="16">
        <f t="shared" si="5"/>
        <v>0</v>
      </c>
      <c r="L95" s="14"/>
      <c r="M95" s="15"/>
      <c r="N95" s="15"/>
      <c r="O95" s="15"/>
      <c r="P95" s="15"/>
      <c r="Q95" s="15"/>
      <c r="R95" s="16">
        <f t="shared" si="6"/>
        <v>0</v>
      </c>
      <c r="S95" s="20"/>
      <c r="T95" s="21" t="e">
        <f>bdrate($D95:$D98,E95:E98,$L95:$L98,M95:M98)</f>
        <v>#VALUE!</v>
      </c>
      <c r="U95" s="22" t="e">
        <f>bdrate($D95:$D98,F95:F98,$L95:$L98,N95:N98)</f>
        <v>#VALUE!</v>
      </c>
      <c r="V95" s="22" t="e">
        <f>bdrate($D95:$D98,G95:G98,$L95:$L98,O95:O98)</f>
        <v>#VALUE!</v>
      </c>
      <c r="W95" s="44" t="e">
        <f>bdrateOld($D95:$D98,E95:E98,$L95:$L98,M95:M98)</f>
        <v>#VALUE!</v>
      </c>
      <c r="X95" s="45" t="e">
        <f>bdrateOld($D95:$D98,F95:F98,$L95:$L98,N95:N98)</f>
        <v>#VALUE!</v>
      </c>
      <c r="Y95" s="46" t="e">
        <f>bdrateOld($D95:$D98,G95:G98,$L95:$L98,O95:O98)</f>
        <v>#VALUE!</v>
      </c>
    </row>
    <row r="96" spans="1:25" x14ac:dyDescent="0.2">
      <c r="A96" s="72"/>
      <c r="B96" s="72"/>
      <c r="C96" s="72">
        <v>27</v>
      </c>
      <c r="D96" s="25"/>
      <c r="E96" s="26"/>
      <c r="F96" s="26"/>
      <c r="G96" s="26"/>
      <c r="H96" s="26"/>
      <c r="I96" s="26"/>
      <c r="J96" s="27">
        <f t="shared" si="5"/>
        <v>0</v>
      </c>
      <c r="L96" s="25"/>
      <c r="M96" s="26"/>
      <c r="N96" s="26"/>
      <c r="O96" s="26"/>
      <c r="P96" s="26"/>
      <c r="Q96" s="26"/>
      <c r="R96" s="27">
        <f t="shared" si="6"/>
        <v>0</v>
      </c>
      <c r="S96" s="20"/>
      <c r="T96" s="31"/>
      <c r="U96" s="32"/>
      <c r="V96" s="32"/>
      <c r="W96" s="31"/>
      <c r="X96" s="32"/>
      <c r="Y96" s="33"/>
    </row>
    <row r="97" spans="1:25" x14ac:dyDescent="0.2">
      <c r="A97" s="72"/>
      <c r="B97" s="72"/>
      <c r="C97" s="72">
        <v>32</v>
      </c>
      <c r="D97" s="25"/>
      <c r="E97" s="26"/>
      <c r="F97" s="26"/>
      <c r="G97" s="26"/>
      <c r="H97" s="26"/>
      <c r="I97" s="26"/>
      <c r="J97" s="27">
        <f t="shared" si="5"/>
        <v>0</v>
      </c>
      <c r="L97" s="25"/>
      <c r="M97" s="26"/>
      <c r="N97" s="26"/>
      <c r="O97" s="26"/>
      <c r="P97" s="26"/>
      <c r="Q97" s="26"/>
      <c r="R97" s="27">
        <f t="shared" si="6"/>
        <v>0</v>
      </c>
      <c r="S97" s="20"/>
      <c r="T97" s="31"/>
      <c r="U97" s="32"/>
      <c r="V97" s="32"/>
      <c r="W97" s="31"/>
      <c r="X97" s="32"/>
      <c r="Y97" s="33"/>
    </row>
    <row r="98" spans="1:25" ht="12.75" thickBot="1" x14ac:dyDescent="0.25">
      <c r="A98" s="79"/>
      <c r="B98" s="79"/>
      <c r="C98" s="79">
        <v>37</v>
      </c>
      <c r="D98" s="35"/>
      <c r="E98" s="36"/>
      <c r="F98" s="36"/>
      <c r="G98" s="36"/>
      <c r="H98" s="36"/>
      <c r="I98" s="36"/>
      <c r="J98" s="37">
        <f t="shared" si="5"/>
        <v>0</v>
      </c>
      <c r="L98" s="35"/>
      <c r="M98" s="36"/>
      <c r="N98" s="36"/>
      <c r="O98" s="36"/>
      <c r="P98" s="36"/>
      <c r="Q98" s="36"/>
      <c r="R98" s="37">
        <f t="shared" si="6"/>
        <v>0</v>
      </c>
      <c r="S98" s="20"/>
      <c r="T98" s="31"/>
      <c r="U98" s="32"/>
      <c r="V98" s="32"/>
      <c r="W98" s="31"/>
      <c r="X98" s="32"/>
      <c r="Y98" s="33"/>
    </row>
    <row r="99" spans="1:25" x14ac:dyDescent="0.2">
      <c r="B99" s="1" t="s">
        <v>2</v>
      </c>
      <c r="T99" s="21"/>
      <c r="U99" s="22"/>
      <c r="V99" s="22"/>
      <c r="W99" s="21"/>
      <c r="X99" s="22"/>
      <c r="Y99" s="23"/>
    </row>
    <row r="100" spans="1:25" x14ac:dyDescent="0.2">
      <c r="B100" s="1" t="s">
        <v>7</v>
      </c>
      <c r="T100" s="44" t="e">
        <f t="shared" ref="T100:Y100" si="7">AVERAGE(T19,T23,T27,T31,T35)</f>
        <v>#VALUE!</v>
      </c>
      <c r="U100" s="45" t="e">
        <f t="shared" si="7"/>
        <v>#VALUE!</v>
      </c>
      <c r="V100" s="45" t="e">
        <f t="shared" si="7"/>
        <v>#VALUE!</v>
      </c>
      <c r="W100" s="44" t="e">
        <f t="shared" si="7"/>
        <v>#VALUE!</v>
      </c>
      <c r="X100" s="45" t="e">
        <f t="shared" si="7"/>
        <v>#VALUE!</v>
      </c>
      <c r="Y100" s="46" t="e">
        <f t="shared" si="7"/>
        <v>#VALUE!</v>
      </c>
    </row>
    <row r="101" spans="1:25" x14ac:dyDescent="0.2">
      <c r="B101" s="1" t="s">
        <v>14</v>
      </c>
      <c r="T101" s="44" t="e">
        <f t="shared" ref="T101:Y101" si="8">AVERAGE(T39,T43,T47,T51)</f>
        <v>#VALUE!</v>
      </c>
      <c r="U101" s="45" t="e">
        <f t="shared" si="8"/>
        <v>#VALUE!</v>
      </c>
      <c r="V101" s="45" t="e">
        <f t="shared" si="8"/>
        <v>#VALUE!</v>
      </c>
      <c r="W101" s="44" t="e">
        <f t="shared" si="8"/>
        <v>#VALUE!</v>
      </c>
      <c r="X101" s="45" t="e">
        <f t="shared" si="8"/>
        <v>#VALUE!</v>
      </c>
      <c r="Y101" s="46" t="e">
        <f t="shared" si="8"/>
        <v>#VALUE!</v>
      </c>
    </row>
    <row r="102" spans="1:25" x14ac:dyDescent="0.2">
      <c r="B102" s="1" t="s">
        <v>20</v>
      </c>
      <c r="T102" s="44" t="e">
        <f t="shared" ref="T102:Y102" si="9">AVERAGE(T55,T59,T63,T67)</f>
        <v>#VALUE!</v>
      </c>
      <c r="U102" s="45" t="e">
        <f t="shared" si="9"/>
        <v>#VALUE!</v>
      </c>
      <c r="V102" s="45" t="e">
        <f t="shared" si="9"/>
        <v>#VALUE!</v>
      </c>
      <c r="W102" s="44" t="e">
        <f t="shared" si="9"/>
        <v>#VALUE!</v>
      </c>
      <c r="X102" s="45" t="e">
        <f t="shared" si="9"/>
        <v>#VALUE!</v>
      </c>
      <c r="Y102" s="46" t="e">
        <f t="shared" si="9"/>
        <v>#VALUE!</v>
      </c>
    </row>
    <row r="103" spans="1:25" x14ac:dyDescent="0.2">
      <c r="B103" s="1" t="s">
        <v>27</v>
      </c>
      <c r="T103" s="44" t="e">
        <f t="shared" ref="T103:Y103" si="10">AVERAGE(T71,T75,T79)</f>
        <v>#VALUE!</v>
      </c>
      <c r="U103" s="45" t="e">
        <f t="shared" si="10"/>
        <v>#VALUE!</v>
      </c>
      <c r="V103" s="45" t="e">
        <f t="shared" si="10"/>
        <v>#VALUE!</v>
      </c>
      <c r="W103" s="44" t="e">
        <f t="shared" si="10"/>
        <v>#VALUE!</v>
      </c>
      <c r="X103" s="45" t="e">
        <f t="shared" si="10"/>
        <v>#VALUE!</v>
      </c>
      <c r="Y103" s="46" t="e">
        <f t="shared" si="10"/>
        <v>#VALUE!</v>
      </c>
    </row>
    <row r="104" spans="1:25" ht="12.75" thickBot="1" x14ac:dyDescent="0.25">
      <c r="B104" s="1" t="s">
        <v>66</v>
      </c>
      <c r="T104" s="48" t="e">
        <f t="shared" ref="T104:Y104" si="11">AVERAGE(T83,T87,T91,T95)</f>
        <v>#VALUE!</v>
      </c>
      <c r="U104" s="49" t="e">
        <f t="shared" si="11"/>
        <v>#VALUE!</v>
      </c>
      <c r="V104" s="49" t="e">
        <f t="shared" si="11"/>
        <v>#VALUE!</v>
      </c>
      <c r="W104" s="48" t="e">
        <f t="shared" si="11"/>
        <v>#VALUE!</v>
      </c>
      <c r="X104" s="49" t="e">
        <f t="shared" si="11"/>
        <v>#VALUE!</v>
      </c>
      <c r="Y104" s="50" t="e">
        <f t="shared" si="11"/>
        <v>#VALUE!</v>
      </c>
    </row>
    <row r="105" spans="1:25" ht="12.75" thickBot="1" x14ac:dyDescent="0.25">
      <c r="A105" s="3"/>
      <c r="B105" s="4" t="s">
        <v>28</v>
      </c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48" t="e">
        <f t="shared" ref="T105:Y105" si="12">AVERAGE(T3:T98)</f>
        <v>#VALUE!</v>
      </c>
      <c r="U105" s="49" t="e">
        <f t="shared" si="12"/>
        <v>#VALUE!</v>
      </c>
      <c r="V105" s="50" t="e">
        <f t="shared" si="12"/>
        <v>#VALUE!</v>
      </c>
      <c r="W105" s="49" t="e">
        <f t="shared" si="12"/>
        <v>#VALUE!</v>
      </c>
      <c r="X105" s="49" t="e">
        <f t="shared" si="12"/>
        <v>#VALUE!</v>
      </c>
      <c r="Y105" s="50" t="e">
        <f t="shared" si="12"/>
        <v>#VALUE!</v>
      </c>
    </row>
    <row r="106" spans="1:25" x14ac:dyDescent="0.2">
      <c r="B106" s="1" t="s">
        <v>29</v>
      </c>
      <c r="I106" s="54" t="e">
        <f>GEOMEAN(I3:I98)</f>
        <v>#NUM!</v>
      </c>
      <c r="J106" s="54" t="e">
        <f>GEOMEAN(J3:J98)</f>
        <v>#NUM!</v>
      </c>
      <c r="Q106" s="54" t="e">
        <f>GEOMEAN(Q3:Q98)</f>
        <v>#NUM!</v>
      </c>
      <c r="R106" s="54" t="e">
        <f>GEOMEAN(R3:R98)</f>
        <v>#NUM!</v>
      </c>
    </row>
    <row r="107" spans="1:25" x14ac:dyDescent="0.2">
      <c r="B107" s="1" t="s">
        <v>30</v>
      </c>
      <c r="Q107" s="55" t="e">
        <f>Q106/I106</f>
        <v>#NUM!</v>
      </c>
      <c r="R107" s="55" t="e">
        <f>R106/J106</f>
        <v>#NUM!</v>
      </c>
    </row>
    <row r="108" spans="1:25" x14ac:dyDescent="0.2">
      <c r="B108" s="1" t="s">
        <v>31</v>
      </c>
      <c r="I108" s="54">
        <f>SUM(I3:I98)/3600</f>
        <v>0</v>
      </c>
      <c r="J108" s="54">
        <f>SUM(J3:J98)</f>
        <v>0</v>
      </c>
      <c r="Q108" s="54">
        <f>SUM(Q3:Q98)/3600</f>
        <v>0</v>
      </c>
      <c r="R108" s="54">
        <f>SUM(R3:R98)</f>
        <v>0</v>
      </c>
    </row>
    <row r="111" spans="1:25" ht="12.75" thickBot="1" x14ac:dyDescent="0.25">
      <c r="B111" s="1" t="s">
        <v>71</v>
      </c>
      <c r="T111" s="48"/>
      <c r="U111" s="49"/>
      <c r="V111" s="49"/>
      <c r="W111" s="48"/>
      <c r="X111" s="49"/>
      <c r="Y111" s="50"/>
    </row>
    <row r="112" spans="1:25" ht="12.75" thickBot="1" x14ac:dyDescent="0.25">
      <c r="A112" s="3"/>
      <c r="B112" s="4" t="s">
        <v>72</v>
      </c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48" t="e">
        <f t="shared" ref="T112:Y112" si="13">AVERAGE(T3,T7,T19,T23,T27,T31,T35,T39,T43,T47,T51,T55,T59,T63,T67,T71,T75,T79)</f>
        <v>#VALUE!</v>
      </c>
      <c r="U112" s="49" t="e">
        <f t="shared" si="13"/>
        <v>#VALUE!</v>
      </c>
      <c r="V112" s="50" t="e">
        <f t="shared" si="13"/>
        <v>#VALUE!</v>
      </c>
      <c r="W112" s="49" t="e">
        <f t="shared" si="13"/>
        <v>#VALUE!</v>
      </c>
      <c r="X112" s="49" t="e">
        <f t="shared" si="13"/>
        <v>#VALUE!</v>
      </c>
      <c r="Y112" s="50" t="e">
        <f t="shared" si="13"/>
        <v>#VALUE!</v>
      </c>
    </row>
    <row r="113" spans="2:18" x14ac:dyDescent="0.2">
      <c r="B113" s="1" t="s">
        <v>29</v>
      </c>
      <c r="I113" s="54" t="e">
        <f>GEOMEAN(I19:I82)</f>
        <v>#NUM!</v>
      </c>
      <c r="J113" s="54" t="e">
        <f>GEOMEAN(J19:J82)</f>
        <v>#NUM!</v>
      </c>
      <c r="Q113" s="54" t="e">
        <f>GEOMEAN(Q19:Q82)</f>
        <v>#NUM!</v>
      </c>
      <c r="R113" s="54" t="e">
        <f>GEOMEAN(R19:R82)</f>
        <v>#NUM!</v>
      </c>
    </row>
    <row r="114" spans="2:18" x14ac:dyDescent="0.2">
      <c r="B114" s="1" t="s">
        <v>30</v>
      </c>
      <c r="Q114" s="55" t="e">
        <f>Q113/I113</f>
        <v>#NUM!</v>
      </c>
      <c r="R114" s="55" t="e">
        <f>R113/J113</f>
        <v>#NUM!</v>
      </c>
    </row>
  </sheetData>
  <mergeCells count="4">
    <mergeCell ref="D1:J1"/>
    <mergeCell ref="L1:R1"/>
    <mergeCell ref="T1:V1"/>
    <mergeCell ref="W1:Y1"/>
  </mergeCells>
  <phoneticPr fontId="2" type="noConversion"/>
  <conditionalFormatting sqref="W78:X78">
    <cfRule type="cellIs" dxfId="1273" priority="55" operator="greaterThan">
      <formula>0.03</formula>
    </cfRule>
    <cfRule type="cellIs" dxfId="1272" priority="56" stopIfTrue="1" operator="lessThan">
      <formula>-0.03</formula>
    </cfRule>
  </conditionalFormatting>
  <conditionalFormatting sqref="T3:V82">
    <cfRule type="cellIs" dxfId="1271" priority="215" operator="greaterThan">
      <formula>0.03</formula>
    </cfRule>
    <cfRule type="cellIs" dxfId="1270" priority="216" stopIfTrue="1" operator="lessThan">
      <formula>-0.03</formula>
    </cfRule>
  </conditionalFormatting>
  <conditionalFormatting sqref="W3">
    <cfRule type="cellIs" dxfId="1269" priority="213" operator="greaterThan">
      <formula>0.03</formula>
    </cfRule>
    <cfRule type="cellIs" dxfId="1268" priority="214" stopIfTrue="1" operator="lessThan">
      <formula>-0.03</formula>
    </cfRule>
  </conditionalFormatting>
  <conditionalFormatting sqref="X3">
    <cfRule type="cellIs" dxfId="1267" priority="211" operator="greaterThan">
      <formula>0.03</formula>
    </cfRule>
    <cfRule type="cellIs" dxfId="1266" priority="212" stopIfTrue="1" operator="lessThan">
      <formula>-0.03</formula>
    </cfRule>
  </conditionalFormatting>
  <conditionalFormatting sqref="Y3">
    <cfRule type="cellIs" dxfId="1265" priority="209" operator="greaterThan">
      <formula>0.03</formula>
    </cfRule>
    <cfRule type="cellIs" dxfId="1264" priority="210" stopIfTrue="1" operator="lessThan">
      <formula>-0.03</formula>
    </cfRule>
  </conditionalFormatting>
  <conditionalFormatting sqref="W7">
    <cfRule type="cellIs" dxfId="1263" priority="207" operator="greaterThan">
      <formula>0.03</formula>
    </cfRule>
    <cfRule type="cellIs" dxfId="1262" priority="208" stopIfTrue="1" operator="lessThan">
      <formula>-0.03</formula>
    </cfRule>
  </conditionalFormatting>
  <conditionalFormatting sqref="X7">
    <cfRule type="cellIs" dxfId="1261" priority="205" operator="greaterThan">
      <formula>0.03</formula>
    </cfRule>
    <cfRule type="cellIs" dxfId="1260" priority="206" stopIfTrue="1" operator="lessThan">
      <formula>-0.03</formula>
    </cfRule>
  </conditionalFormatting>
  <conditionalFormatting sqref="Y7">
    <cfRule type="cellIs" dxfId="1259" priority="203" operator="greaterThan">
      <formula>0.03</formula>
    </cfRule>
    <cfRule type="cellIs" dxfId="1258" priority="204" stopIfTrue="1" operator="lessThan">
      <formula>-0.03</formula>
    </cfRule>
  </conditionalFormatting>
  <conditionalFormatting sqref="W11">
    <cfRule type="cellIs" dxfId="1257" priority="201" operator="greaterThan">
      <formula>0.03</formula>
    </cfRule>
    <cfRule type="cellIs" dxfId="1256" priority="202" stopIfTrue="1" operator="lessThan">
      <formula>-0.03</formula>
    </cfRule>
  </conditionalFormatting>
  <conditionalFormatting sqref="X11">
    <cfRule type="cellIs" dxfId="1255" priority="199" operator="greaterThan">
      <formula>0.03</formula>
    </cfRule>
    <cfRule type="cellIs" dxfId="1254" priority="200" stopIfTrue="1" operator="lessThan">
      <formula>-0.03</formula>
    </cfRule>
  </conditionalFormatting>
  <conditionalFormatting sqref="Y11">
    <cfRule type="cellIs" dxfId="1253" priority="197" operator="greaterThan">
      <formula>0.03</formula>
    </cfRule>
    <cfRule type="cellIs" dxfId="1252" priority="198" stopIfTrue="1" operator="lessThan">
      <formula>-0.03</formula>
    </cfRule>
  </conditionalFormatting>
  <conditionalFormatting sqref="W15">
    <cfRule type="cellIs" dxfId="1251" priority="195" operator="greaterThan">
      <formula>0.03</formula>
    </cfRule>
    <cfRule type="cellIs" dxfId="1250" priority="196" stopIfTrue="1" operator="lessThan">
      <formula>-0.03</formula>
    </cfRule>
  </conditionalFormatting>
  <conditionalFormatting sqref="X15">
    <cfRule type="cellIs" dxfId="1249" priority="193" operator="greaterThan">
      <formula>0.03</formula>
    </cfRule>
    <cfRule type="cellIs" dxfId="1248" priority="194" stopIfTrue="1" operator="lessThan">
      <formula>-0.03</formula>
    </cfRule>
  </conditionalFormatting>
  <conditionalFormatting sqref="Y15">
    <cfRule type="cellIs" dxfId="1247" priority="191" operator="greaterThan">
      <formula>0.03</formula>
    </cfRule>
    <cfRule type="cellIs" dxfId="1246" priority="192" stopIfTrue="1" operator="lessThan">
      <formula>-0.03</formula>
    </cfRule>
  </conditionalFormatting>
  <conditionalFormatting sqref="W19">
    <cfRule type="cellIs" dxfId="1245" priority="189" operator="greaterThan">
      <formula>0.03</formula>
    </cfRule>
    <cfRule type="cellIs" dxfId="1244" priority="190" stopIfTrue="1" operator="lessThan">
      <formula>-0.03</formula>
    </cfRule>
  </conditionalFormatting>
  <conditionalFormatting sqref="X19">
    <cfRule type="cellIs" dxfId="1243" priority="187" operator="greaterThan">
      <formula>0.03</formula>
    </cfRule>
    <cfRule type="cellIs" dxfId="1242" priority="188" stopIfTrue="1" operator="lessThan">
      <formula>-0.03</formula>
    </cfRule>
  </conditionalFormatting>
  <conditionalFormatting sqref="Y19">
    <cfRule type="cellIs" dxfId="1241" priority="185" operator="greaterThan">
      <formula>0.03</formula>
    </cfRule>
    <cfRule type="cellIs" dxfId="1240" priority="186" stopIfTrue="1" operator="lessThan">
      <formula>-0.03</formula>
    </cfRule>
  </conditionalFormatting>
  <conditionalFormatting sqref="W23">
    <cfRule type="cellIs" dxfId="1239" priority="183" operator="greaterThan">
      <formula>0.03</formula>
    </cfRule>
    <cfRule type="cellIs" dxfId="1238" priority="184" stopIfTrue="1" operator="lessThan">
      <formula>-0.03</formula>
    </cfRule>
  </conditionalFormatting>
  <conditionalFormatting sqref="X23">
    <cfRule type="cellIs" dxfId="1237" priority="181" operator="greaterThan">
      <formula>0.03</formula>
    </cfRule>
    <cfRule type="cellIs" dxfId="1236" priority="182" stopIfTrue="1" operator="lessThan">
      <formula>-0.03</formula>
    </cfRule>
  </conditionalFormatting>
  <conditionalFormatting sqref="Y23">
    <cfRule type="cellIs" dxfId="1235" priority="179" operator="greaterThan">
      <formula>0.03</formula>
    </cfRule>
    <cfRule type="cellIs" dxfId="1234" priority="180" stopIfTrue="1" operator="lessThan">
      <formula>-0.03</formula>
    </cfRule>
  </conditionalFormatting>
  <conditionalFormatting sqref="W27">
    <cfRule type="cellIs" dxfId="1233" priority="177" operator="greaterThan">
      <formula>0.03</formula>
    </cfRule>
    <cfRule type="cellIs" dxfId="1232" priority="178" stopIfTrue="1" operator="lessThan">
      <formula>-0.03</formula>
    </cfRule>
  </conditionalFormatting>
  <conditionalFormatting sqref="X27">
    <cfRule type="cellIs" dxfId="1231" priority="175" operator="greaterThan">
      <formula>0.03</formula>
    </cfRule>
    <cfRule type="cellIs" dxfId="1230" priority="176" stopIfTrue="1" operator="lessThan">
      <formula>-0.03</formula>
    </cfRule>
  </conditionalFormatting>
  <conditionalFormatting sqref="Y27">
    <cfRule type="cellIs" dxfId="1229" priority="173" operator="greaterThan">
      <formula>0.03</formula>
    </cfRule>
    <cfRule type="cellIs" dxfId="1228" priority="174" stopIfTrue="1" operator="lessThan">
      <formula>-0.03</formula>
    </cfRule>
  </conditionalFormatting>
  <conditionalFormatting sqref="W31">
    <cfRule type="cellIs" dxfId="1227" priority="171" operator="greaterThan">
      <formula>0.03</formula>
    </cfRule>
    <cfRule type="cellIs" dxfId="1226" priority="172" stopIfTrue="1" operator="lessThan">
      <formula>-0.03</formula>
    </cfRule>
  </conditionalFormatting>
  <conditionalFormatting sqref="X31">
    <cfRule type="cellIs" dxfId="1225" priority="169" operator="greaterThan">
      <formula>0.03</formula>
    </cfRule>
    <cfRule type="cellIs" dxfId="1224" priority="170" stopIfTrue="1" operator="lessThan">
      <formula>-0.03</formula>
    </cfRule>
  </conditionalFormatting>
  <conditionalFormatting sqref="Y31">
    <cfRule type="cellIs" dxfId="1223" priority="167" operator="greaterThan">
      <formula>0.03</formula>
    </cfRule>
    <cfRule type="cellIs" dxfId="1222" priority="168" stopIfTrue="1" operator="lessThan">
      <formula>-0.03</formula>
    </cfRule>
  </conditionalFormatting>
  <conditionalFormatting sqref="W35">
    <cfRule type="cellIs" dxfId="1221" priority="165" operator="greaterThan">
      <formula>0.03</formula>
    </cfRule>
    <cfRule type="cellIs" dxfId="1220" priority="166" stopIfTrue="1" operator="lessThan">
      <formula>-0.03</formula>
    </cfRule>
  </conditionalFormatting>
  <conditionalFormatting sqref="X35">
    <cfRule type="cellIs" dxfId="1219" priority="163" operator="greaterThan">
      <formula>0.03</formula>
    </cfRule>
    <cfRule type="cellIs" dxfId="1218" priority="164" stopIfTrue="1" operator="lessThan">
      <formula>-0.03</formula>
    </cfRule>
  </conditionalFormatting>
  <conditionalFormatting sqref="Y35">
    <cfRule type="cellIs" dxfId="1217" priority="161" operator="greaterThan">
      <formula>0.03</formula>
    </cfRule>
    <cfRule type="cellIs" dxfId="1216" priority="162" stopIfTrue="1" operator="lessThan">
      <formula>-0.03</formula>
    </cfRule>
  </conditionalFormatting>
  <conditionalFormatting sqref="W39">
    <cfRule type="cellIs" dxfId="1215" priority="159" operator="greaterThan">
      <formula>0.03</formula>
    </cfRule>
    <cfRule type="cellIs" dxfId="1214" priority="160" stopIfTrue="1" operator="lessThan">
      <formula>-0.03</formula>
    </cfRule>
  </conditionalFormatting>
  <conditionalFormatting sqref="X39">
    <cfRule type="cellIs" dxfId="1213" priority="157" operator="greaterThan">
      <formula>0.03</formula>
    </cfRule>
    <cfRule type="cellIs" dxfId="1212" priority="158" stopIfTrue="1" operator="lessThan">
      <formula>-0.03</formula>
    </cfRule>
  </conditionalFormatting>
  <conditionalFormatting sqref="Y39">
    <cfRule type="cellIs" dxfId="1211" priority="155" operator="greaterThan">
      <formula>0.03</formula>
    </cfRule>
    <cfRule type="cellIs" dxfId="1210" priority="156" stopIfTrue="1" operator="lessThan">
      <formula>-0.03</formula>
    </cfRule>
  </conditionalFormatting>
  <conditionalFormatting sqref="W43">
    <cfRule type="cellIs" dxfId="1209" priority="153" operator="greaterThan">
      <formula>0.03</formula>
    </cfRule>
    <cfRule type="cellIs" dxfId="1208" priority="154" stopIfTrue="1" operator="lessThan">
      <formula>-0.03</formula>
    </cfRule>
  </conditionalFormatting>
  <conditionalFormatting sqref="X43">
    <cfRule type="cellIs" dxfId="1207" priority="151" operator="greaterThan">
      <formula>0.03</formula>
    </cfRule>
    <cfRule type="cellIs" dxfId="1206" priority="152" stopIfTrue="1" operator="lessThan">
      <formula>-0.03</formula>
    </cfRule>
  </conditionalFormatting>
  <conditionalFormatting sqref="Y43">
    <cfRule type="cellIs" dxfId="1205" priority="149" operator="greaterThan">
      <formula>0.03</formula>
    </cfRule>
    <cfRule type="cellIs" dxfId="1204" priority="150" stopIfTrue="1" operator="lessThan">
      <formula>-0.03</formula>
    </cfRule>
  </conditionalFormatting>
  <conditionalFormatting sqref="W47">
    <cfRule type="cellIs" dxfId="1203" priority="147" operator="greaterThan">
      <formula>0.03</formula>
    </cfRule>
    <cfRule type="cellIs" dxfId="1202" priority="148" stopIfTrue="1" operator="lessThan">
      <formula>-0.03</formula>
    </cfRule>
  </conditionalFormatting>
  <conditionalFormatting sqref="X47">
    <cfRule type="cellIs" dxfId="1201" priority="145" operator="greaterThan">
      <formula>0.03</formula>
    </cfRule>
    <cfRule type="cellIs" dxfId="1200" priority="146" stopIfTrue="1" operator="lessThan">
      <formula>-0.03</formula>
    </cfRule>
  </conditionalFormatting>
  <conditionalFormatting sqref="Y47">
    <cfRule type="cellIs" dxfId="1199" priority="143" operator="greaterThan">
      <formula>0.03</formula>
    </cfRule>
    <cfRule type="cellIs" dxfId="1198" priority="144" stopIfTrue="1" operator="lessThan">
      <formula>-0.03</formula>
    </cfRule>
  </conditionalFormatting>
  <conditionalFormatting sqref="W51">
    <cfRule type="cellIs" dxfId="1197" priority="141" operator="greaterThan">
      <formula>0.03</formula>
    </cfRule>
    <cfRule type="cellIs" dxfId="1196" priority="142" stopIfTrue="1" operator="lessThan">
      <formula>-0.03</formula>
    </cfRule>
  </conditionalFormatting>
  <conditionalFormatting sqref="X51">
    <cfRule type="cellIs" dxfId="1195" priority="139" operator="greaterThan">
      <formula>0.03</formula>
    </cfRule>
    <cfRule type="cellIs" dxfId="1194" priority="140" stopIfTrue="1" operator="lessThan">
      <formula>-0.03</formula>
    </cfRule>
  </conditionalFormatting>
  <conditionalFormatting sqref="Y51">
    <cfRule type="cellIs" dxfId="1193" priority="137" operator="greaterThan">
      <formula>0.03</formula>
    </cfRule>
    <cfRule type="cellIs" dxfId="1192" priority="138" stopIfTrue="1" operator="lessThan">
      <formula>-0.03</formula>
    </cfRule>
  </conditionalFormatting>
  <conditionalFormatting sqref="W55">
    <cfRule type="cellIs" dxfId="1191" priority="135" operator="greaterThan">
      <formula>0.03</formula>
    </cfRule>
    <cfRule type="cellIs" dxfId="1190" priority="136" stopIfTrue="1" operator="lessThan">
      <formula>-0.03</formula>
    </cfRule>
  </conditionalFormatting>
  <conditionalFormatting sqref="X55">
    <cfRule type="cellIs" dxfId="1189" priority="133" operator="greaterThan">
      <formula>0.03</formula>
    </cfRule>
    <cfRule type="cellIs" dxfId="1188" priority="134" stopIfTrue="1" operator="lessThan">
      <formula>-0.03</formula>
    </cfRule>
  </conditionalFormatting>
  <conditionalFormatting sqref="Y55">
    <cfRule type="cellIs" dxfId="1187" priority="131" operator="greaterThan">
      <formula>0.03</formula>
    </cfRule>
    <cfRule type="cellIs" dxfId="1186" priority="132" stopIfTrue="1" operator="lessThan">
      <formula>-0.03</formula>
    </cfRule>
  </conditionalFormatting>
  <conditionalFormatting sqref="W59">
    <cfRule type="cellIs" dxfId="1185" priority="129" operator="greaterThan">
      <formula>0.03</formula>
    </cfRule>
    <cfRule type="cellIs" dxfId="1184" priority="130" stopIfTrue="1" operator="lessThan">
      <formula>-0.03</formula>
    </cfRule>
  </conditionalFormatting>
  <conditionalFormatting sqref="X59">
    <cfRule type="cellIs" dxfId="1183" priority="127" operator="greaterThan">
      <formula>0.03</formula>
    </cfRule>
    <cfRule type="cellIs" dxfId="1182" priority="128" stopIfTrue="1" operator="lessThan">
      <formula>-0.03</formula>
    </cfRule>
  </conditionalFormatting>
  <conditionalFormatting sqref="Y59">
    <cfRule type="cellIs" dxfId="1181" priority="125" operator="greaterThan">
      <formula>0.03</formula>
    </cfRule>
    <cfRule type="cellIs" dxfId="1180" priority="126" stopIfTrue="1" operator="lessThan">
      <formula>-0.03</formula>
    </cfRule>
  </conditionalFormatting>
  <conditionalFormatting sqref="W63">
    <cfRule type="cellIs" dxfId="1179" priority="123" operator="greaterThan">
      <formula>0.03</formula>
    </cfRule>
    <cfRule type="cellIs" dxfId="1178" priority="124" stopIfTrue="1" operator="lessThan">
      <formula>-0.03</formula>
    </cfRule>
  </conditionalFormatting>
  <conditionalFormatting sqref="X63">
    <cfRule type="cellIs" dxfId="1177" priority="121" operator="greaterThan">
      <formula>0.03</formula>
    </cfRule>
    <cfRule type="cellIs" dxfId="1176" priority="122" stopIfTrue="1" operator="lessThan">
      <formula>-0.03</formula>
    </cfRule>
  </conditionalFormatting>
  <conditionalFormatting sqref="Y63">
    <cfRule type="cellIs" dxfId="1175" priority="119" operator="greaterThan">
      <formula>0.03</formula>
    </cfRule>
    <cfRule type="cellIs" dxfId="1174" priority="120" stopIfTrue="1" operator="lessThan">
      <formula>-0.03</formula>
    </cfRule>
  </conditionalFormatting>
  <conditionalFormatting sqref="W67">
    <cfRule type="cellIs" dxfId="1173" priority="117" operator="greaterThan">
      <formula>0.03</formula>
    </cfRule>
    <cfRule type="cellIs" dxfId="1172" priority="118" stopIfTrue="1" operator="lessThan">
      <formula>-0.03</formula>
    </cfRule>
  </conditionalFormatting>
  <conditionalFormatting sqref="X67">
    <cfRule type="cellIs" dxfId="1171" priority="115" operator="greaterThan">
      <formula>0.03</formula>
    </cfRule>
    <cfRule type="cellIs" dxfId="1170" priority="116" stopIfTrue="1" operator="lessThan">
      <formula>-0.03</formula>
    </cfRule>
  </conditionalFormatting>
  <conditionalFormatting sqref="Y67">
    <cfRule type="cellIs" dxfId="1169" priority="113" operator="greaterThan">
      <formula>0.03</formula>
    </cfRule>
    <cfRule type="cellIs" dxfId="1168" priority="114" stopIfTrue="1" operator="lessThan">
      <formula>-0.03</formula>
    </cfRule>
  </conditionalFormatting>
  <conditionalFormatting sqref="W71">
    <cfRule type="cellIs" dxfId="1167" priority="111" operator="greaterThan">
      <formula>0.03</formula>
    </cfRule>
    <cfRule type="cellIs" dxfId="1166" priority="112" stopIfTrue="1" operator="lessThan">
      <formula>-0.03</formula>
    </cfRule>
  </conditionalFormatting>
  <conditionalFormatting sqref="X71">
    <cfRule type="cellIs" dxfId="1165" priority="109" operator="greaterThan">
      <formula>0.03</formula>
    </cfRule>
    <cfRule type="cellIs" dxfId="1164" priority="110" stopIfTrue="1" operator="lessThan">
      <formula>-0.03</formula>
    </cfRule>
  </conditionalFormatting>
  <conditionalFormatting sqref="Y71">
    <cfRule type="cellIs" dxfId="1163" priority="107" operator="greaterThan">
      <formula>0.03</formula>
    </cfRule>
    <cfRule type="cellIs" dxfId="1162" priority="108" stopIfTrue="1" operator="lessThan">
      <formula>-0.03</formula>
    </cfRule>
  </conditionalFormatting>
  <conditionalFormatting sqref="W75">
    <cfRule type="cellIs" dxfId="1161" priority="105" operator="greaterThan">
      <formula>0.03</formula>
    </cfRule>
    <cfRule type="cellIs" dxfId="1160" priority="106" stopIfTrue="1" operator="lessThan">
      <formula>-0.03</formula>
    </cfRule>
  </conditionalFormatting>
  <conditionalFormatting sqref="X75">
    <cfRule type="cellIs" dxfId="1159" priority="103" operator="greaterThan">
      <formula>0.03</formula>
    </cfRule>
    <cfRule type="cellIs" dxfId="1158" priority="104" stopIfTrue="1" operator="lessThan">
      <formula>-0.03</formula>
    </cfRule>
  </conditionalFormatting>
  <conditionalFormatting sqref="Y75">
    <cfRule type="cellIs" dxfId="1157" priority="101" operator="greaterThan">
      <formula>0.03</formula>
    </cfRule>
    <cfRule type="cellIs" dxfId="1156" priority="102" stopIfTrue="1" operator="lessThan">
      <formula>-0.03</formula>
    </cfRule>
  </conditionalFormatting>
  <conditionalFormatting sqref="W79">
    <cfRule type="cellIs" dxfId="1155" priority="99" operator="greaterThan">
      <formula>0.03</formula>
    </cfRule>
    <cfRule type="cellIs" dxfId="1154" priority="100" stopIfTrue="1" operator="lessThan">
      <formula>-0.03</formula>
    </cfRule>
  </conditionalFormatting>
  <conditionalFormatting sqref="X79">
    <cfRule type="cellIs" dxfId="1153" priority="97" operator="greaterThan">
      <formula>0.03</formula>
    </cfRule>
    <cfRule type="cellIs" dxfId="1152" priority="98" stopIfTrue="1" operator="lessThan">
      <formula>-0.03</formula>
    </cfRule>
  </conditionalFormatting>
  <conditionalFormatting sqref="Y79">
    <cfRule type="cellIs" dxfId="1151" priority="95" operator="greaterThan">
      <formula>0.03</formula>
    </cfRule>
    <cfRule type="cellIs" dxfId="1150" priority="96" stopIfTrue="1" operator="lessThan">
      <formula>-0.03</formula>
    </cfRule>
  </conditionalFormatting>
  <conditionalFormatting sqref="T83:V98">
    <cfRule type="cellIs" dxfId="1149" priority="49" operator="greaterThan">
      <formula>0.03</formula>
    </cfRule>
    <cfRule type="cellIs" dxfId="1148" priority="50" stopIfTrue="1" operator="lessThan">
      <formula>-0.03</formula>
    </cfRule>
  </conditionalFormatting>
  <conditionalFormatting sqref="W6:X6">
    <cfRule type="cellIs" dxfId="1147" priority="91" operator="greaterThan">
      <formula>0.03</formula>
    </cfRule>
    <cfRule type="cellIs" dxfId="1146" priority="92" stopIfTrue="1" operator="lessThan">
      <formula>-0.03</formula>
    </cfRule>
  </conditionalFormatting>
  <conditionalFormatting sqref="W10:X10">
    <cfRule type="cellIs" dxfId="1145" priority="89" operator="greaterThan">
      <formula>0.03</formula>
    </cfRule>
    <cfRule type="cellIs" dxfId="1144" priority="90" stopIfTrue="1" operator="lessThan">
      <formula>-0.03</formula>
    </cfRule>
  </conditionalFormatting>
  <conditionalFormatting sqref="W14:X14">
    <cfRule type="cellIs" dxfId="1143" priority="87" operator="greaterThan">
      <formula>0.03</formula>
    </cfRule>
    <cfRule type="cellIs" dxfId="1142" priority="88" stopIfTrue="1" operator="lessThan">
      <formula>-0.03</formula>
    </cfRule>
  </conditionalFormatting>
  <conditionalFormatting sqref="W18:X18">
    <cfRule type="cellIs" dxfId="1141" priority="85" operator="greaterThan">
      <formula>0.03</formula>
    </cfRule>
    <cfRule type="cellIs" dxfId="1140" priority="86" stopIfTrue="1" operator="lessThan">
      <formula>-0.03</formula>
    </cfRule>
  </conditionalFormatting>
  <conditionalFormatting sqref="W22:X22">
    <cfRule type="cellIs" dxfId="1139" priority="83" operator="greaterThan">
      <formula>0.03</formula>
    </cfRule>
    <cfRule type="cellIs" dxfId="1138" priority="84" stopIfTrue="1" operator="lessThan">
      <formula>-0.03</formula>
    </cfRule>
  </conditionalFormatting>
  <conditionalFormatting sqref="W26:X26">
    <cfRule type="cellIs" dxfId="1137" priority="81" operator="greaterThan">
      <formula>0.03</formula>
    </cfRule>
    <cfRule type="cellIs" dxfId="1136" priority="82" stopIfTrue="1" operator="lessThan">
      <formula>-0.03</formula>
    </cfRule>
  </conditionalFormatting>
  <conditionalFormatting sqref="W30:X30">
    <cfRule type="cellIs" dxfId="1135" priority="79" operator="greaterThan">
      <formula>0.03</formula>
    </cfRule>
    <cfRule type="cellIs" dxfId="1134" priority="80" stopIfTrue="1" operator="lessThan">
      <formula>-0.03</formula>
    </cfRule>
  </conditionalFormatting>
  <conditionalFormatting sqref="W34:X34">
    <cfRule type="cellIs" dxfId="1133" priority="77" operator="greaterThan">
      <formula>0.03</formula>
    </cfRule>
    <cfRule type="cellIs" dxfId="1132" priority="78" stopIfTrue="1" operator="lessThan">
      <formula>-0.03</formula>
    </cfRule>
  </conditionalFormatting>
  <conditionalFormatting sqref="W38:X38">
    <cfRule type="cellIs" dxfId="1131" priority="75" operator="greaterThan">
      <formula>0.03</formula>
    </cfRule>
    <cfRule type="cellIs" dxfId="1130" priority="76" stopIfTrue="1" operator="lessThan">
      <formula>-0.03</formula>
    </cfRule>
  </conditionalFormatting>
  <conditionalFormatting sqref="W42:X42">
    <cfRule type="cellIs" dxfId="1129" priority="73" operator="greaterThan">
      <formula>0.03</formula>
    </cfRule>
    <cfRule type="cellIs" dxfId="1128" priority="74" stopIfTrue="1" operator="lessThan">
      <formula>-0.03</formula>
    </cfRule>
  </conditionalFormatting>
  <conditionalFormatting sqref="W46:X46">
    <cfRule type="cellIs" dxfId="1127" priority="71" operator="greaterThan">
      <formula>0.03</formula>
    </cfRule>
    <cfRule type="cellIs" dxfId="1126" priority="72" stopIfTrue="1" operator="lessThan">
      <formula>-0.03</formula>
    </cfRule>
  </conditionalFormatting>
  <conditionalFormatting sqref="W50:X50">
    <cfRule type="cellIs" dxfId="1125" priority="69" operator="greaterThan">
      <formula>0.03</formula>
    </cfRule>
    <cfRule type="cellIs" dxfId="1124" priority="70" stopIfTrue="1" operator="lessThan">
      <formula>-0.03</formula>
    </cfRule>
  </conditionalFormatting>
  <conditionalFormatting sqref="W54:X54">
    <cfRule type="cellIs" dxfId="1123" priority="67" operator="greaterThan">
      <formula>0.03</formula>
    </cfRule>
    <cfRule type="cellIs" dxfId="1122" priority="68" stopIfTrue="1" operator="lessThan">
      <formula>-0.03</formula>
    </cfRule>
  </conditionalFormatting>
  <conditionalFormatting sqref="W58:X58">
    <cfRule type="cellIs" dxfId="1121" priority="65" operator="greaterThan">
      <formula>0.03</formula>
    </cfRule>
    <cfRule type="cellIs" dxfId="1120" priority="66" stopIfTrue="1" operator="lessThan">
      <formula>-0.03</formula>
    </cfRule>
  </conditionalFormatting>
  <conditionalFormatting sqref="W62:X62">
    <cfRule type="cellIs" dxfId="1119" priority="63" operator="greaterThan">
      <formula>0.03</formula>
    </cfRule>
    <cfRule type="cellIs" dxfId="1118" priority="64" stopIfTrue="1" operator="lessThan">
      <formula>-0.03</formula>
    </cfRule>
  </conditionalFormatting>
  <conditionalFormatting sqref="W66:X66">
    <cfRule type="cellIs" dxfId="1117" priority="61" operator="greaterThan">
      <formula>0.03</formula>
    </cfRule>
    <cfRule type="cellIs" dxfId="1116" priority="62" stopIfTrue="1" operator="lessThan">
      <formula>-0.03</formula>
    </cfRule>
  </conditionalFormatting>
  <conditionalFormatting sqref="W70:X70">
    <cfRule type="cellIs" dxfId="1115" priority="59" operator="greaterThan">
      <formula>0.03</formula>
    </cfRule>
    <cfRule type="cellIs" dxfId="1114" priority="60" stopIfTrue="1" operator="lessThan">
      <formula>-0.03</formula>
    </cfRule>
  </conditionalFormatting>
  <conditionalFormatting sqref="W74:X74">
    <cfRule type="cellIs" dxfId="1113" priority="57" operator="greaterThan">
      <formula>0.03</formula>
    </cfRule>
    <cfRule type="cellIs" dxfId="1112" priority="58" stopIfTrue="1" operator="lessThan">
      <formula>-0.03</formula>
    </cfRule>
  </conditionalFormatting>
  <conditionalFormatting sqref="T99:V105">
    <cfRule type="cellIs" dxfId="1111" priority="53" operator="greaterThan">
      <formula>0.03</formula>
    </cfRule>
    <cfRule type="cellIs" dxfId="1110" priority="54" stopIfTrue="1" operator="lessThan">
      <formula>-0.03</formula>
    </cfRule>
  </conditionalFormatting>
  <conditionalFormatting sqref="W99:Y103 W105:Y105">
    <cfRule type="cellIs" dxfId="1109" priority="51" operator="greaterThan">
      <formula>0.03</formula>
    </cfRule>
    <cfRule type="cellIs" dxfId="1108" priority="52" stopIfTrue="1" operator="lessThan">
      <formula>-0.03</formula>
    </cfRule>
  </conditionalFormatting>
  <conditionalFormatting sqref="W83">
    <cfRule type="cellIs" dxfId="1107" priority="47" operator="greaterThan">
      <formula>0.03</formula>
    </cfRule>
    <cfRule type="cellIs" dxfId="1106" priority="48" stopIfTrue="1" operator="lessThan">
      <formula>-0.03</formula>
    </cfRule>
  </conditionalFormatting>
  <conditionalFormatting sqref="X83">
    <cfRule type="cellIs" dxfId="1105" priority="45" operator="greaterThan">
      <formula>0.03</formula>
    </cfRule>
    <cfRule type="cellIs" dxfId="1104" priority="46" stopIfTrue="1" operator="lessThan">
      <formula>-0.03</formula>
    </cfRule>
  </conditionalFormatting>
  <conditionalFormatting sqref="Y83">
    <cfRule type="cellIs" dxfId="1103" priority="43" operator="greaterThan">
      <formula>0.03</formula>
    </cfRule>
    <cfRule type="cellIs" dxfId="1102" priority="44" stopIfTrue="1" operator="lessThan">
      <formula>-0.03</formula>
    </cfRule>
  </conditionalFormatting>
  <conditionalFormatting sqref="W87">
    <cfRule type="cellIs" dxfId="1101" priority="41" operator="greaterThan">
      <formula>0.03</formula>
    </cfRule>
    <cfRule type="cellIs" dxfId="1100" priority="42" stopIfTrue="1" operator="lessThan">
      <formula>-0.03</formula>
    </cfRule>
  </conditionalFormatting>
  <conditionalFormatting sqref="X87">
    <cfRule type="cellIs" dxfId="1099" priority="39" operator="greaterThan">
      <formula>0.03</formula>
    </cfRule>
    <cfRule type="cellIs" dxfId="1098" priority="40" stopIfTrue="1" operator="lessThan">
      <formula>-0.03</formula>
    </cfRule>
  </conditionalFormatting>
  <conditionalFormatting sqref="Y87">
    <cfRule type="cellIs" dxfId="1097" priority="37" operator="greaterThan">
      <formula>0.03</formula>
    </cfRule>
    <cfRule type="cellIs" dxfId="1096" priority="38" stopIfTrue="1" operator="lessThan">
      <formula>-0.03</formula>
    </cfRule>
  </conditionalFormatting>
  <conditionalFormatting sqref="W91">
    <cfRule type="cellIs" dxfId="1095" priority="35" operator="greaterThan">
      <formula>0.03</formula>
    </cfRule>
    <cfRule type="cellIs" dxfId="1094" priority="36" stopIfTrue="1" operator="lessThan">
      <formula>-0.03</formula>
    </cfRule>
  </conditionalFormatting>
  <conditionalFormatting sqref="X91">
    <cfRule type="cellIs" dxfId="1093" priority="33" operator="greaterThan">
      <formula>0.03</formula>
    </cfRule>
    <cfRule type="cellIs" dxfId="1092" priority="34" stopIfTrue="1" operator="lessThan">
      <formula>-0.03</formula>
    </cfRule>
  </conditionalFormatting>
  <conditionalFormatting sqref="Y91">
    <cfRule type="cellIs" dxfId="1091" priority="31" operator="greaterThan">
      <formula>0.03</formula>
    </cfRule>
    <cfRule type="cellIs" dxfId="1090" priority="32" stopIfTrue="1" operator="lessThan">
      <formula>-0.03</formula>
    </cfRule>
  </conditionalFormatting>
  <conditionalFormatting sqref="W95">
    <cfRule type="cellIs" dxfId="1089" priority="29" operator="greaterThan">
      <formula>0.03</formula>
    </cfRule>
    <cfRule type="cellIs" dxfId="1088" priority="30" stopIfTrue="1" operator="lessThan">
      <formula>-0.03</formula>
    </cfRule>
  </conditionalFormatting>
  <conditionalFormatting sqref="X95">
    <cfRule type="cellIs" dxfId="1087" priority="27" operator="greaterThan">
      <formula>0.03</formula>
    </cfRule>
    <cfRule type="cellIs" dxfId="1086" priority="28" stopIfTrue="1" operator="lessThan">
      <formula>-0.03</formula>
    </cfRule>
  </conditionalFormatting>
  <conditionalFormatting sqref="Y95">
    <cfRule type="cellIs" dxfId="1085" priority="25" operator="greaterThan">
      <formula>0.03</formula>
    </cfRule>
    <cfRule type="cellIs" dxfId="1084" priority="26" stopIfTrue="1" operator="lessThan">
      <formula>-0.03</formula>
    </cfRule>
  </conditionalFormatting>
  <conditionalFormatting sqref="W86:X86">
    <cfRule type="cellIs" dxfId="1083" priority="23" operator="greaterThan">
      <formula>0.03</formula>
    </cfRule>
    <cfRule type="cellIs" dxfId="1082" priority="24" stopIfTrue="1" operator="lessThan">
      <formula>-0.03</formula>
    </cfRule>
  </conditionalFormatting>
  <conditionalFormatting sqref="W90:X90">
    <cfRule type="cellIs" dxfId="1081" priority="21" operator="greaterThan">
      <formula>0.03</formula>
    </cfRule>
    <cfRule type="cellIs" dxfId="1080" priority="22" stopIfTrue="1" operator="lessThan">
      <formula>-0.03</formula>
    </cfRule>
  </conditionalFormatting>
  <conditionalFormatting sqref="W94:X94">
    <cfRule type="cellIs" dxfId="1079" priority="19" operator="greaterThan">
      <formula>0.03</formula>
    </cfRule>
    <cfRule type="cellIs" dxfId="1078" priority="20" stopIfTrue="1" operator="lessThan">
      <formula>-0.03</formula>
    </cfRule>
  </conditionalFormatting>
  <conditionalFormatting sqref="W98:X98">
    <cfRule type="cellIs" dxfId="1077" priority="17" operator="greaterThan">
      <formula>0.03</formula>
    </cfRule>
    <cfRule type="cellIs" dxfId="1076" priority="18" stopIfTrue="1" operator="lessThan">
      <formula>-0.03</formula>
    </cfRule>
  </conditionalFormatting>
  <conditionalFormatting sqref="W104">
    <cfRule type="cellIs" dxfId="1075" priority="15" operator="greaterThan">
      <formula>0.03</formula>
    </cfRule>
    <cfRule type="cellIs" dxfId="1074" priority="16" stopIfTrue="1" operator="lessThan">
      <formula>-0.03</formula>
    </cfRule>
  </conditionalFormatting>
  <conditionalFormatting sqref="X104">
    <cfRule type="cellIs" dxfId="1073" priority="13" operator="greaterThan">
      <formula>0.03</formula>
    </cfRule>
    <cfRule type="cellIs" dxfId="1072" priority="14" stopIfTrue="1" operator="lessThan">
      <formula>-0.03</formula>
    </cfRule>
  </conditionalFormatting>
  <conditionalFormatting sqref="Y104">
    <cfRule type="cellIs" dxfId="1071" priority="11" operator="greaterThan">
      <formula>0.03</formula>
    </cfRule>
    <cfRule type="cellIs" dxfId="1070" priority="12" stopIfTrue="1" operator="lessThan">
      <formula>-0.03</formula>
    </cfRule>
  </conditionalFormatting>
  <conditionalFormatting sqref="T111:V112">
    <cfRule type="cellIs" dxfId="1069" priority="9" operator="greaterThan">
      <formula>0.03</formula>
    </cfRule>
    <cfRule type="cellIs" dxfId="1068" priority="10" stopIfTrue="1" operator="lessThan">
      <formula>-0.03</formula>
    </cfRule>
  </conditionalFormatting>
  <conditionalFormatting sqref="W112:Y112">
    <cfRule type="cellIs" dxfId="1067" priority="7" operator="greaterThan">
      <formula>0.03</formula>
    </cfRule>
    <cfRule type="cellIs" dxfId="1066" priority="8" stopIfTrue="1" operator="lessThan">
      <formula>-0.03</formula>
    </cfRule>
  </conditionalFormatting>
  <conditionalFormatting sqref="W111">
    <cfRule type="cellIs" dxfId="1065" priority="5" operator="greaterThan">
      <formula>0.03</formula>
    </cfRule>
    <cfRule type="cellIs" dxfId="1064" priority="6" stopIfTrue="1" operator="lessThan">
      <formula>-0.03</formula>
    </cfRule>
  </conditionalFormatting>
  <conditionalFormatting sqref="X111">
    <cfRule type="cellIs" dxfId="1063" priority="3" operator="greaterThan">
      <formula>0.03</formula>
    </cfRule>
    <cfRule type="cellIs" dxfId="1062" priority="4" stopIfTrue="1" operator="lessThan">
      <formula>-0.03</formula>
    </cfRule>
  </conditionalFormatting>
  <conditionalFormatting sqref="Y111">
    <cfRule type="cellIs" dxfId="1061" priority="1" operator="greaterThan">
      <formula>0.03</formula>
    </cfRule>
    <cfRule type="cellIs" dxfId="1060" priority="2" stopIfTrue="1" operator="lessThan">
      <formula>-0.03</formula>
    </cfRule>
  </conditionalFormatting>
  <pageMargins left="0.75" right="0.75" top="1" bottom="1" header="0.5" footer="0.5"/>
  <pageSetup paperSize="9" orientation="portrait" horizontalDpi="4294967292" verticalDpi="4294967292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C114"/>
  <sheetViews>
    <sheetView topLeftCell="B16" zoomScale="85" zoomScaleNormal="85" workbookViewId="0">
      <selection activeCell="D19" sqref="D19:H55"/>
    </sheetView>
  </sheetViews>
  <sheetFormatPr defaultColWidth="10.77734375" defaultRowHeight="12" x14ac:dyDescent="0.2"/>
  <cols>
    <col min="1" max="1" width="8.33203125" style="1" customWidth="1"/>
    <col min="2" max="2" width="14.77734375" style="1" customWidth="1"/>
    <col min="3" max="3" width="7.77734375" style="1" customWidth="1"/>
    <col min="4" max="4" width="9.77734375" style="1" customWidth="1"/>
    <col min="5" max="7" width="6.77734375" style="1" customWidth="1"/>
    <col min="8" max="10" width="8.77734375" style="1" customWidth="1"/>
    <col min="11" max="11" width="2.77734375" style="1" customWidth="1"/>
    <col min="12" max="12" width="9.77734375" style="1" customWidth="1"/>
    <col min="13" max="15" width="6.77734375" style="1" customWidth="1"/>
    <col min="16" max="18" width="8.77734375" style="1" customWidth="1"/>
    <col min="19" max="19" width="2.77734375" style="1" customWidth="1"/>
    <col min="20" max="25" width="8.77734375" style="1" customWidth="1"/>
    <col min="26" max="16384" width="10.77734375" style="1"/>
  </cols>
  <sheetData>
    <row r="1" spans="1:25" ht="12.75" thickBot="1" x14ac:dyDescent="0.25">
      <c r="D1" s="162" t="s">
        <v>32</v>
      </c>
      <c r="E1" s="163"/>
      <c r="F1" s="163"/>
      <c r="G1" s="163"/>
      <c r="H1" s="163"/>
      <c r="I1" s="163"/>
      <c r="J1" s="164"/>
      <c r="L1" s="162" t="s">
        <v>33</v>
      </c>
      <c r="M1" s="163"/>
      <c r="N1" s="163"/>
      <c r="O1" s="163"/>
      <c r="P1" s="163"/>
      <c r="Q1" s="163"/>
      <c r="R1" s="164"/>
      <c r="S1" s="2"/>
      <c r="T1" s="162" t="s">
        <v>47</v>
      </c>
      <c r="U1" s="163"/>
      <c r="V1" s="164"/>
      <c r="W1" s="162" t="s">
        <v>48</v>
      </c>
      <c r="X1" s="163"/>
      <c r="Y1" s="164"/>
    </row>
    <row r="2" spans="1:25" ht="12.75" thickBot="1" x14ac:dyDescent="0.25">
      <c r="A2" s="3"/>
      <c r="B2" s="4"/>
      <c r="C2" s="5" t="s">
        <v>1</v>
      </c>
      <c r="D2" s="6" t="s">
        <v>34</v>
      </c>
      <c r="E2" s="7" t="s">
        <v>35</v>
      </c>
      <c r="F2" s="7" t="s">
        <v>36</v>
      </c>
      <c r="G2" s="7" t="s">
        <v>37</v>
      </c>
      <c r="H2" s="7" t="s">
        <v>38</v>
      </c>
      <c r="I2" s="7" t="s">
        <v>39</v>
      </c>
      <c r="J2" s="8" t="s">
        <v>40</v>
      </c>
      <c r="K2" s="2"/>
      <c r="L2" s="6" t="s">
        <v>34</v>
      </c>
      <c r="M2" s="7" t="s">
        <v>35</v>
      </c>
      <c r="N2" s="7" t="s">
        <v>36</v>
      </c>
      <c r="O2" s="7" t="s">
        <v>37</v>
      </c>
      <c r="P2" s="7" t="s">
        <v>38</v>
      </c>
      <c r="Q2" s="7" t="s">
        <v>39</v>
      </c>
      <c r="R2" s="8" t="s">
        <v>40</v>
      </c>
      <c r="S2" s="9"/>
      <c r="T2" s="6" t="s">
        <v>41</v>
      </c>
      <c r="U2" s="7" t="s">
        <v>42</v>
      </c>
      <c r="V2" s="8" t="s">
        <v>43</v>
      </c>
      <c r="W2" s="10" t="s">
        <v>41</v>
      </c>
      <c r="X2" s="11" t="s">
        <v>42</v>
      </c>
      <c r="Y2" s="12" t="s">
        <v>43</v>
      </c>
    </row>
    <row r="3" spans="1:25" x14ac:dyDescent="0.2">
      <c r="A3" s="63" t="s">
        <v>2</v>
      </c>
      <c r="B3" s="63" t="s">
        <v>3</v>
      </c>
      <c r="C3" s="63">
        <v>22</v>
      </c>
      <c r="D3" s="64"/>
      <c r="E3" s="65"/>
      <c r="F3" s="65"/>
      <c r="G3" s="65"/>
      <c r="H3" s="65"/>
      <c r="I3" s="65"/>
      <c r="J3" s="66"/>
      <c r="K3" s="67"/>
      <c r="L3" s="86"/>
      <c r="M3" s="87"/>
      <c r="N3" s="87"/>
      <c r="O3" s="87"/>
      <c r="P3" s="87"/>
      <c r="Q3" s="87"/>
      <c r="R3" s="88"/>
      <c r="S3" s="95"/>
      <c r="T3" s="96"/>
      <c r="U3" s="97"/>
      <c r="V3" s="98"/>
      <c r="W3" s="96"/>
      <c r="X3" s="97"/>
      <c r="Y3" s="98"/>
    </row>
    <row r="4" spans="1:25" x14ac:dyDescent="0.2">
      <c r="A4" s="72" t="s">
        <v>4</v>
      </c>
      <c r="B4" s="72"/>
      <c r="C4" s="72">
        <v>27</v>
      </c>
      <c r="D4" s="73"/>
      <c r="E4" s="74"/>
      <c r="F4" s="74"/>
      <c r="G4" s="74"/>
      <c r="H4" s="74"/>
      <c r="I4" s="74"/>
      <c r="J4" s="75"/>
      <c r="K4" s="67"/>
      <c r="L4" s="89"/>
      <c r="M4" s="90"/>
      <c r="N4" s="90"/>
      <c r="O4" s="90"/>
      <c r="P4" s="90"/>
      <c r="Q4" s="90"/>
      <c r="R4" s="91"/>
      <c r="S4" s="95"/>
      <c r="T4" s="99"/>
      <c r="U4" s="100"/>
      <c r="V4" s="101"/>
      <c r="W4" s="99"/>
      <c r="X4" s="100"/>
      <c r="Y4" s="101"/>
    </row>
    <row r="5" spans="1:25" x14ac:dyDescent="0.2">
      <c r="A5" s="72"/>
      <c r="B5" s="72"/>
      <c r="C5" s="72">
        <v>32</v>
      </c>
      <c r="D5" s="73"/>
      <c r="E5" s="74"/>
      <c r="F5" s="74"/>
      <c r="G5" s="74"/>
      <c r="H5" s="74"/>
      <c r="I5" s="74"/>
      <c r="J5" s="75"/>
      <c r="K5" s="67"/>
      <c r="L5" s="89"/>
      <c r="M5" s="90"/>
      <c r="N5" s="90"/>
      <c r="O5" s="90"/>
      <c r="P5" s="90"/>
      <c r="Q5" s="90"/>
      <c r="R5" s="91"/>
      <c r="S5" s="95"/>
      <c r="T5" s="99"/>
      <c r="U5" s="100"/>
      <c r="V5" s="101"/>
      <c r="W5" s="99"/>
      <c r="X5" s="100"/>
      <c r="Y5" s="101"/>
    </row>
    <row r="6" spans="1:25" ht="12.75" thickBot="1" x14ac:dyDescent="0.25">
      <c r="A6" s="72"/>
      <c r="B6" s="79"/>
      <c r="C6" s="79">
        <v>37</v>
      </c>
      <c r="D6" s="80"/>
      <c r="E6" s="81"/>
      <c r="F6" s="81"/>
      <c r="G6" s="81"/>
      <c r="H6" s="81"/>
      <c r="I6" s="81"/>
      <c r="J6" s="82"/>
      <c r="K6" s="67"/>
      <c r="L6" s="92"/>
      <c r="M6" s="93"/>
      <c r="N6" s="93"/>
      <c r="O6" s="93"/>
      <c r="P6" s="93"/>
      <c r="Q6" s="93"/>
      <c r="R6" s="94"/>
      <c r="S6" s="95"/>
      <c r="T6" s="102"/>
      <c r="U6" s="103"/>
      <c r="V6" s="104"/>
      <c r="W6" s="102"/>
      <c r="X6" s="103"/>
      <c r="Y6" s="104"/>
    </row>
    <row r="7" spans="1:25" x14ac:dyDescent="0.2">
      <c r="A7" s="72"/>
      <c r="B7" s="63" t="s">
        <v>5</v>
      </c>
      <c r="C7" s="63">
        <v>22</v>
      </c>
      <c r="D7" s="64"/>
      <c r="E7" s="65"/>
      <c r="F7" s="65"/>
      <c r="G7" s="65"/>
      <c r="H7" s="65"/>
      <c r="I7" s="65"/>
      <c r="J7" s="66"/>
      <c r="K7" s="67"/>
      <c r="L7" s="86"/>
      <c r="M7" s="87"/>
      <c r="N7" s="87"/>
      <c r="O7" s="87"/>
      <c r="P7" s="87"/>
      <c r="Q7" s="87"/>
      <c r="R7" s="88"/>
      <c r="S7" s="95"/>
      <c r="T7" s="96"/>
      <c r="U7" s="97"/>
      <c r="V7" s="97"/>
      <c r="W7" s="105"/>
      <c r="X7" s="106"/>
      <c r="Y7" s="107"/>
    </row>
    <row r="8" spans="1:25" x14ac:dyDescent="0.2">
      <c r="A8" s="72"/>
      <c r="B8" s="72"/>
      <c r="C8" s="72">
        <v>27</v>
      </c>
      <c r="D8" s="73"/>
      <c r="E8" s="74"/>
      <c r="F8" s="74"/>
      <c r="G8" s="74"/>
      <c r="H8" s="74"/>
      <c r="I8" s="74"/>
      <c r="J8" s="75"/>
      <c r="K8" s="67"/>
      <c r="L8" s="89"/>
      <c r="M8" s="90"/>
      <c r="N8" s="90"/>
      <c r="O8" s="90"/>
      <c r="P8" s="90"/>
      <c r="Q8" s="90"/>
      <c r="R8" s="91"/>
      <c r="S8" s="95"/>
      <c r="T8" s="99"/>
      <c r="U8" s="100"/>
      <c r="V8" s="100"/>
      <c r="W8" s="99"/>
      <c r="X8" s="100"/>
      <c r="Y8" s="101"/>
    </row>
    <row r="9" spans="1:25" x14ac:dyDescent="0.2">
      <c r="A9" s="72"/>
      <c r="B9" s="72"/>
      <c r="C9" s="72">
        <v>32</v>
      </c>
      <c r="D9" s="73"/>
      <c r="E9" s="74"/>
      <c r="F9" s="74"/>
      <c r="G9" s="74"/>
      <c r="H9" s="74"/>
      <c r="I9" s="74"/>
      <c r="J9" s="75"/>
      <c r="K9" s="67"/>
      <c r="L9" s="89"/>
      <c r="M9" s="90"/>
      <c r="N9" s="90"/>
      <c r="O9" s="90"/>
      <c r="P9" s="90"/>
      <c r="Q9" s="90"/>
      <c r="R9" s="91"/>
      <c r="S9" s="95"/>
      <c r="T9" s="99"/>
      <c r="U9" s="108"/>
      <c r="V9" s="100"/>
      <c r="W9" s="99"/>
      <c r="X9" s="100"/>
      <c r="Y9" s="101"/>
    </row>
    <row r="10" spans="1:25" ht="12.75" thickBot="1" x14ac:dyDescent="0.25">
      <c r="A10" s="72"/>
      <c r="B10" s="79"/>
      <c r="C10" s="79">
        <v>37</v>
      </c>
      <c r="D10" s="80"/>
      <c r="E10" s="81"/>
      <c r="F10" s="81"/>
      <c r="G10" s="81"/>
      <c r="H10" s="81"/>
      <c r="I10" s="81"/>
      <c r="J10" s="82"/>
      <c r="K10" s="67"/>
      <c r="L10" s="92"/>
      <c r="M10" s="93"/>
      <c r="N10" s="93"/>
      <c r="O10" s="93"/>
      <c r="P10" s="93"/>
      <c r="Q10" s="93"/>
      <c r="R10" s="94"/>
      <c r="S10" s="95"/>
      <c r="T10" s="102"/>
      <c r="U10" s="103"/>
      <c r="V10" s="103"/>
      <c r="W10" s="102"/>
      <c r="X10" s="103"/>
      <c r="Y10" s="104"/>
    </row>
    <row r="11" spans="1:25" x14ac:dyDescent="0.2">
      <c r="A11" s="72"/>
      <c r="B11" s="63" t="s">
        <v>0</v>
      </c>
      <c r="C11" s="63">
        <v>22</v>
      </c>
      <c r="D11" s="64"/>
      <c r="E11" s="65"/>
      <c r="F11" s="65"/>
      <c r="G11" s="65"/>
      <c r="H11" s="65"/>
      <c r="I11" s="65"/>
      <c r="J11" s="66"/>
      <c r="K11" s="67"/>
      <c r="L11" s="86"/>
      <c r="M11" s="87"/>
      <c r="N11" s="87"/>
      <c r="O11" s="87"/>
      <c r="P11" s="87"/>
      <c r="Q11" s="87"/>
      <c r="R11" s="88"/>
      <c r="S11" s="95"/>
      <c r="T11" s="96"/>
      <c r="U11" s="97"/>
      <c r="V11" s="97"/>
      <c r="W11" s="105"/>
      <c r="X11" s="106"/>
      <c r="Y11" s="107"/>
    </row>
    <row r="12" spans="1:25" x14ac:dyDescent="0.2">
      <c r="A12" s="72"/>
      <c r="B12" s="72"/>
      <c r="C12" s="72">
        <v>27</v>
      </c>
      <c r="D12" s="73"/>
      <c r="E12" s="74"/>
      <c r="F12" s="74"/>
      <c r="G12" s="74"/>
      <c r="H12" s="74"/>
      <c r="I12" s="74"/>
      <c r="J12" s="75"/>
      <c r="K12" s="67"/>
      <c r="L12" s="89"/>
      <c r="M12" s="90"/>
      <c r="N12" s="90"/>
      <c r="O12" s="90"/>
      <c r="P12" s="90"/>
      <c r="Q12" s="90"/>
      <c r="R12" s="91"/>
      <c r="S12" s="95"/>
      <c r="T12" s="99"/>
      <c r="U12" s="100"/>
      <c r="V12" s="100"/>
      <c r="W12" s="99"/>
      <c r="X12" s="100"/>
      <c r="Y12" s="101"/>
    </row>
    <row r="13" spans="1:25" x14ac:dyDescent="0.2">
      <c r="A13" s="72"/>
      <c r="B13" s="72"/>
      <c r="C13" s="72">
        <v>32</v>
      </c>
      <c r="D13" s="73"/>
      <c r="E13" s="74"/>
      <c r="F13" s="74"/>
      <c r="G13" s="74"/>
      <c r="H13" s="74"/>
      <c r="I13" s="74"/>
      <c r="J13" s="75"/>
      <c r="K13" s="67"/>
      <c r="L13" s="89"/>
      <c r="M13" s="90"/>
      <c r="N13" s="90"/>
      <c r="O13" s="90"/>
      <c r="P13" s="90"/>
      <c r="Q13" s="90"/>
      <c r="R13" s="91"/>
      <c r="S13" s="95"/>
      <c r="T13" s="99"/>
      <c r="U13" s="100"/>
      <c r="V13" s="100"/>
      <c r="W13" s="99"/>
      <c r="X13" s="100"/>
      <c r="Y13" s="101"/>
    </row>
    <row r="14" spans="1:25" ht="12.75" thickBot="1" x14ac:dyDescent="0.25">
      <c r="A14" s="72"/>
      <c r="B14" s="79"/>
      <c r="C14" s="79">
        <v>37</v>
      </c>
      <c r="D14" s="80"/>
      <c r="E14" s="81"/>
      <c r="F14" s="81"/>
      <c r="G14" s="81"/>
      <c r="H14" s="81"/>
      <c r="I14" s="81"/>
      <c r="J14" s="82"/>
      <c r="K14" s="67"/>
      <c r="L14" s="92"/>
      <c r="M14" s="93"/>
      <c r="N14" s="93"/>
      <c r="O14" s="93"/>
      <c r="P14" s="93"/>
      <c r="Q14" s="93"/>
      <c r="R14" s="94"/>
      <c r="S14" s="95"/>
      <c r="T14" s="102"/>
      <c r="U14" s="103"/>
      <c r="V14" s="103"/>
      <c r="W14" s="102"/>
      <c r="X14" s="103"/>
      <c r="Y14" s="104"/>
    </row>
    <row r="15" spans="1:25" x14ac:dyDescent="0.2">
      <c r="A15" s="72"/>
      <c r="B15" s="63" t="s">
        <v>6</v>
      </c>
      <c r="C15" s="63">
        <v>22</v>
      </c>
      <c r="D15" s="64"/>
      <c r="E15" s="65"/>
      <c r="F15" s="65"/>
      <c r="G15" s="65"/>
      <c r="H15" s="65"/>
      <c r="I15" s="65"/>
      <c r="J15" s="66"/>
      <c r="K15" s="67"/>
      <c r="L15" s="86"/>
      <c r="M15" s="87"/>
      <c r="N15" s="87"/>
      <c r="O15" s="87"/>
      <c r="P15" s="87"/>
      <c r="Q15" s="87"/>
      <c r="R15" s="88"/>
      <c r="S15" s="95"/>
      <c r="T15" s="96"/>
      <c r="U15" s="97"/>
      <c r="V15" s="97"/>
      <c r="W15" s="105"/>
      <c r="X15" s="106"/>
      <c r="Y15" s="107"/>
    </row>
    <row r="16" spans="1:25" x14ac:dyDescent="0.2">
      <c r="A16" s="72"/>
      <c r="B16" s="72"/>
      <c r="C16" s="72">
        <v>27</v>
      </c>
      <c r="D16" s="73"/>
      <c r="E16" s="74"/>
      <c r="F16" s="74"/>
      <c r="G16" s="74"/>
      <c r="H16" s="74"/>
      <c r="I16" s="74"/>
      <c r="J16" s="75"/>
      <c r="K16" s="67"/>
      <c r="L16" s="89"/>
      <c r="M16" s="90"/>
      <c r="N16" s="90"/>
      <c r="O16" s="90"/>
      <c r="P16" s="90"/>
      <c r="Q16" s="90"/>
      <c r="R16" s="91"/>
      <c r="S16" s="95"/>
      <c r="T16" s="99"/>
      <c r="U16" s="100"/>
      <c r="V16" s="100"/>
      <c r="W16" s="99"/>
      <c r="X16" s="100"/>
      <c r="Y16" s="101"/>
    </row>
    <row r="17" spans="1:29" x14ac:dyDescent="0.2">
      <c r="A17" s="72"/>
      <c r="B17" s="72"/>
      <c r="C17" s="72">
        <v>32</v>
      </c>
      <c r="D17" s="73"/>
      <c r="E17" s="74"/>
      <c r="F17" s="74"/>
      <c r="G17" s="74"/>
      <c r="H17" s="74"/>
      <c r="I17" s="74"/>
      <c r="J17" s="75"/>
      <c r="K17" s="67"/>
      <c r="L17" s="89"/>
      <c r="M17" s="90"/>
      <c r="N17" s="90"/>
      <c r="O17" s="90"/>
      <c r="P17" s="90"/>
      <c r="Q17" s="90"/>
      <c r="R17" s="91"/>
      <c r="S17" s="95"/>
      <c r="T17" s="99"/>
      <c r="U17" s="100"/>
      <c r="V17" s="100"/>
      <c r="W17" s="99"/>
      <c r="X17" s="100"/>
      <c r="Y17" s="101"/>
    </row>
    <row r="18" spans="1:29" ht="12.75" thickBot="1" x14ac:dyDescent="0.25">
      <c r="A18" s="79"/>
      <c r="B18" s="79"/>
      <c r="C18" s="79">
        <v>37</v>
      </c>
      <c r="D18" s="80"/>
      <c r="E18" s="81"/>
      <c r="F18" s="81"/>
      <c r="G18" s="81"/>
      <c r="H18" s="81"/>
      <c r="I18" s="81"/>
      <c r="J18" s="82"/>
      <c r="K18" s="67"/>
      <c r="L18" s="92"/>
      <c r="M18" s="93"/>
      <c r="N18" s="93"/>
      <c r="O18" s="93"/>
      <c r="P18" s="93"/>
      <c r="Q18" s="93"/>
      <c r="R18" s="94"/>
      <c r="S18" s="95"/>
      <c r="T18" s="102"/>
      <c r="U18" s="103"/>
      <c r="V18" s="103"/>
      <c r="W18" s="102"/>
      <c r="X18" s="103"/>
      <c r="Y18" s="104"/>
    </row>
    <row r="19" spans="1:29" x14ac:dyDescent="0.2">
      <c r="A19" s="13" t="s">
        <v>7</v>
      </c>
      <c r="B19" s="13" t="s">
        <v>8</v>
      </c>
      <c r="C19" s="13">
        <v>22</v>
      </c>
      <c r="D19" s="14"/>
      <c r="E19" s="15"/>
      <c r="F19" s="15"/>
      <c r="G19" s="15"/>
      <c r="H19" s="15"/>
      <c r="I19" s="15"/>
      <c r="J19" s="16">
        <f t="shared" ref="J19:J67" si="0">H19/3600</f>
        <v>0</v>
      </c>
      <c r="L19" s="14"/>
      <c r="M19" s="15"/>
      <c r="N19" s="15"/>
      <c r="O19" s="15"/>
      <c r="P19" s="15"/>
      <c r="Q19" s="15"/>
      <c r="R19" s="16">
        <f t="shared" ref="R19:R67" si="1">P19/3600</f>
        <v>0</v>
      </c>
      <c r="S19" s="20"/>
      <c r="T19" s="21" t="e">
        <f>bdrate($D19:$D22,E19:E22,$L19:$L22,M19:M22)</f>
        <v>#VALUE!</v>
      </c>
      <c r="U19" s="22" t="e">
        <f>bdrate($D19:$D22,F19:F22,$L19:$L22,N19:N22)</f>
        <v>#VALUE!</v>
      </c>
      <c r="V19" s="22" t="e">
        <f>bdrate($D19:$D22,G19:G22,$L19:$L22,O19:O22)</f>
        <v>#VALUE!</v>
      </c>
      <c r="W19" s="44" t="e">
        <f>bdrateOld($D19:$D22,E19:E22,$L19:$L22,M19:M22)</f>
        <v>#VALUE!</v>
      </c>
      <c r="X19" s="45" t="e">
        <f>bdrateOld($D19:$D22,F19:F22,$L19:$L22,N19:N22)</f>
        <v>#VALUE!</v>
      </c>
      <c r="Y19" s="46" t="e">
        <f>bdrateOld($D19:$D22,G19:G22,$L19:$L22,O19:O22)</f>
        <v>#VALUE!</v>
      </c>
      <c r="Z19" s="122" t="e">
        <f t="shared" ref="Z19:Z54" si="2">(H19-P19)/H19</f>
        <v>#DIV/0!</v>
      </c>
      <c r="AA19" s="140" t="e">
        <f>AVERAGE(Z19:Z22)</f>
        <v>#DIV/0!</v>
      </c>
      <c r="AB19" s="144" t="e">
        <f ca="1">[1]!BJM(D19:E22,L19:M22,0)</f>
        <v>#NAME?</v>
      </c>
      <c r="AC19" s="144"/>
    </row>
    <row r="20" spans="1:29" x14ac:dyDescent="0.2">
      <c r="A20" s="24" t="s">
        <v>9</v>
      </c>
      <c r="B20" s="24"/>
      <c r="C20" s="24">
        <v>27</v>
      </c>
      <c r="D20" s="25"/>
      <c r="E20" s="26"/>
      <c r="F20" s="26"/>
      <c r="G20" s="26"/>
      <c r="H20" s="26"/>
      <c r="I20" s="26"/>
      <c r="J20" s="27">
        <f t="shared" si="0"/>
        <v>0</v>
      </c>
      <c r="L20" s="25"/>
      <c r="M20" s="26"/>
      <c r="N20" s="26"/>
      <c r="O20" s="26"/>
      <c r="P20" s="26"/>
      <c r="Q20" s="26"/>
      <c r="R20" s="27">
        <f t="shared" si="1"/>
        <v>0</v>
      </c>
      <c r="S20" s="20"/>
      <c r="T20" s="31"/>
      <c r="U20" s="32"/>
      <c r="V20" s="32"/>
      <c r="W20" s="31"/>
      <c r="X20" s="32"/>
      <c r="Y20" s="33"/>
      <c r="Z20" s="122" t="e">
        <f t="shared" si="2"/>
        <v>#DIV/0!</v>
      </c>
      <c r="AA20" s="33"/>
      <c r="AB20" s="145"/>
      <c r="AC20" s="144"/>
    </row>
    <row r="21" spans="1:29" x14ac:dyDescent="0.2">
      <c r="A21" s="24"/>
      <c r="B21" s="24"/>
      <c r="C21" s="24">
        <v>32</v>
      </c>
      <c r="D21" s="25"/>
      <c r="E21" s="26"/>
      <c r="F21" s="26"/>
      <c r="G21" s="26"/>
      <c r="H21" s="26"/>
      <c r="I21" s="26"/>
      <c r="J21" s="27">
        <f t="shared" si="0"/>
        <v>0</v>
      </c>
      <c r="L21" s="25"/>
      <c r="M21" s="26"/>
      <c r="N21" s="26"/>
      <c r="O21" s="26"/>
      <c r="P21" s="26"/>
      <c r="Q21" s="26"/>
      <c r="R21" s="27">
        <f t="shared" si="1"/>
        <v>0</v>
      </c>
      <c r="S21" s="20"/>
      <c r="T21" s="31"/>
      <c r="U21" s="32"/>
      <c r="V21" s="32"/>
      <c r="W21" s="31"/>
      <c r="X21" s="32"/>
      <c r="Y21" s="33"/>
      <c r="Z21" s="122" t="e">
        <f t="shared" si="2"/>
        <v>#DIV/0!</v>
      </c>
      <c r="AA21" s="33"/>
      <c r="AB21" s="145"/>
      <c r="AC21" s="144"/>
    </row>
    <row r="22" spans="1:29" ht="12.75" thickBot="1" x14ac:dyDescent="0.25">
      <c r="A22" s="24"/>
      <c r="B22" s="34"/>
      <c r="C22" s="34">
        <v>37</v>
      </c>
      <c r="D22" s="35"/>
      <c r="E22" s="36"/>
      <c r="F22" s="36"/>
      <c r="G22" s="36"/>
      <c r="H22" s="36"/>
      <c r="I22" s="36"/>
      <c r="J22" s="37">
        <f t="shared" si="0"/>
        <v>0</v>
      </c>
      <c r="L22" s="35"/>
      <c r="M22" s="36"/>
      <c r="N22" s="36"/>
      <c r="O22" s="36"/>
      <c r="P22" s="36"/>
      <c r="Q22" s="36"/>
      <c r="R22" s="37">
        <f t="shared" si="1"/>
        <v>0</v>
      </c>
      <c r="S22" s="20"/>
      <c r="T22" s="41"/>
      <c r="U22" s="42"/>
      <c r="V22" s="42"/>
      <c r="W22" s="41"/>
      <c r="X22" s="42"/>
      <c r="Y22" s="43"/>
      <c r="Z22" s="123" t="e">
        <f t="shared" si="2"/>
        <v>#DIV/0!</v>
      </c>
      <c r="AA22" s="43"/>
      <c r="AB22" s="145"/>
      <c r="AC22" s="144"/>
    </row>
    <row r="23" spans="1:29" x14ac:dyDescent="0.2">
      <c r="A23" s="24"/>
      <c r="B23" s="13" t="s">
        <v>10</v>
      </c>
      <c r="C23" s="13">
        <v>22</v>
      </c>
      <c r="D23" s="14"/>
      <c r="E23" s="15"/>
      <c r="F23" s="15"/>
      <c r="G23" s="15"/>
      <c r="H23" s="15"/>
      <c r="I23" s="15"/>
      <c r="J23" s="16">
        <f t="shared" si="0"/>
        <v>0</v>
      </c>
      <c r="L23" s="14"/>
      <c r="M23" s="15"/>
      <c r="N23" s="15"/>
      <c r="O23" s="15"/>
      <c r="P23" s="15"/>
      <c r="Q23" s="15"/>
      <c r="R23" s="16">
        <f t="shared" si="1"/>
        <v>0</v>
      </c>
      <c r="S23" s="20"/>
      <c r="T23" s="21" t="e">
        <f>bdrate($D23:$D26,E23:E26,$L23:$L26,M23:M26)</f>
        <v>#VALUE!</v>
      </c>
      <c r="U23" s="22" t="e">
        <f>bdrate($D23:$D26,F23:F26,$L23:$L26,N23:N26)</f>
        <v>#VALUE!</v>
      </c>
      <c r="V23" s="22" t="e">
        <f>bdrate($D23:$D26,G23:G26,$L23:$L26,O23:O26)</f>
        <v>#VALUE!</v>
      </c>
      <c r="W23" s="44" t="e">
        <f>bdrateOld($D23:$D26,E23:E26,$L23:$L26,M23:M26)</f>
        <v>#VALUE!</v>
      </c>
      <c r="X23" s="45" t="e">
        <f>bdrateOld($D23:$D26,F23:F26,$L23:$L26,N23:N26)</f>
        <v>#VALUE!</v>
      </c>
      <c r="Y23" s="46" t="e">
        <f>bdrateOld($D23:$D26,G23:G26,$L23:$L26,O23:O26)</f>
        <v>#VALUE!</v>
      </c>
      <c r="Z23" s="122" t="e">
        <f t="shared" si="2"/>
        <v>#DIV/0!</v>
      </c>
      <c r="AA23" s="126" t="e">
        <f>AVERAGE(Z23:Z26)</f>
        <v>#DIV/0!</v>
      </c>
      <c r="AB23" s="144" t="e">
        <f ca="1">[1]!BJM(D23:E26,L23:M26,0)</f>
        <v>#NAME?</v>
      </c>
      <c r="AC23" s="144"/>
    </row>
    <row r="24" spans="1:29" x14ac:dyDescent="0.2">
      <c r="A24" s="24"/>
      <c r="B24" s="24"/>
      <c r="C24" s="24">
        <v>27</v>
      </c>
      <c r="D24" s="25"/>
      <c r="E24" s="26"/>
      <c r="F24" s="26"/>
      <c r="G24" s="26"/>
      <c r="H24" s="26"/>
      <c r="I24" s="26"/>
      <c r="J24" s="27">
        <f t="shared" si="0"/>
        <v>0</v>
      </c>
      <c r="L24" s="25"/>
      <c r="M24" s="26"/>
      <c r="N24" s="26"/>
      <c r="O24" s="26"/>
      <c r="P24" s="26"/>
      <c r="Q24" s="26"/>
      <c r="R24" s="27">
        <f t="shared" si="1"/>
        <v>0</v>
      </c>
      <c r="S24" s="20"/>
      <c r="T24" s="31"/>
      <c r="U24" s="32"/>
      <c r="V24" s="32"/>
      <c r="W24" s="31"/>
      <c r="X24" s="32"/>
      <c r="Y24" s="33"/>
      <c r="Z24" s="122" t="e">
        <f t="shared" si="2"/>
        <v>#DIV/0!</v>
      </c>
      <c r="AA24" s="33"/>
      <c r="AB24" s="145"/>
      <c r="AC24" s="144"/>
    </row>
    <row r="25" spans="1:29" x14ac:dyDescent="0.2">
      <c r="A25" s="24"/>
      <c r="B25" s="24"/>
      <c r="C25" s="24">
        <v>32</v>
      </c>
      <c r="D25" s="25"/>
      <c r="E25" s="26"/>
      <c r="F25" s="26"/>
      <c r="G25" s="26"/>
      <c r="H25" s="26"/>
      <c r="I25" s="26"/>
      <c r="J25" s="27">
        <f t="shared" si="0"/>
        <v>0</v>
      </c>
      <c r="L25" s="25"/>
      <c r="M25" s="26"/>
      <c r="N25" s="26"/>
      <c r="O25" s="26"/>
      <c r="P25" s="26"/>
      <c r="Q25" s="26"/>
      <c r="R25" s="27">
        <f t="shared" si="1"/>
        <v>0</v>
      </c>
      <c r="S25" s="20"/>
      <c r="T25" s="31"/>
      <c r="U25" s="32"/>
      <c r="V25" s="32"/>
      <c r="W25" s="31"/>
      <c r="X25" s="32"/>
      <c r="Y25" s="33"/>
      <c r="Z25" s="122" t="e">
        <f t="shared" si="2"/>
        <v>#DIV/0!</v>
      </c>
      <c r="AA25" s="33"/>
      <c r="AB25" s="145"/>
      <c r="AC25" s="144"/>
    </row>
    <row r="26" spans="1:29" ht="12.75" thickBot="1" x14ac:dyDescent="0.25">
      <c r="A26" s="24"/>
      <c r="B26" s="34"/>
      <c r="C26" s="34">
        <v>37</v>
      </c>
      <c r="D26" s="35"/>
      <c r="E26" s="36"/>
      <c r="F26" s="36"/>
      <c r="G26" s="36"/>
      <c r="H26" s="36"/>
      <c r="I26" s="36"/>
      <c r="J26" s="37">
        <f t="shared" si="0"/>
        <v>0</v>
      </c>
      <c r="L26" s="35"/>
      <c r="M26" s="36"/>
      <c r="N26" s="36"/>
      <c r="O26" s="36"/>
      <c r="P26" s="36"/>
      <c r="Q26" s="36"/>
      <c r="R26" s="37">
        <f t="shared" si="1"/>
        <v>0</v>
      </c>
      <c r="S26" s="20"/>
      <c r="T26" s="41"/>
      <c r="U26" s="42"/>
      <c r="V26" s="42"/>
      <c r="W26" s="41"/>
      <c r="X26" s="42"/>
      <c r="Y26" s="43"/>
      <c r="Z26" s="123" t="e">
        <f t="shared" si="2"/>
        <v>#DIV/0!</v>
      </c>
      <c r="AA26" s="43"/>
      <c r="AB26" s="145"/>
      <c r="AC26" s="144"/>
    </row>
    <row r="27" spans="1:29" x14ac:dyDescent="0.2">
      <c r="A27" s="24"/>
      <c r="B27" s="13" t="s">
        <v>11</v>
      </c>
      <c r="C27" s="13">
        <v>22</v>
      </c>
      <c r="D27" s="14"/>
      <c r="E27" s="15"/>
      <c r="F27" s="15"/>
      <c r="G27" s="15"/>
      <c r="H27" s="15"/>
      <c r="I27" s="15"/>
      <c r="J27" s="16">
        <f t="shared" si="0"/>
        <v>0</v>
      </c>
      <c r="L27" s="14"/>
      <c r="M27" s="15"/>
      <c r="N27" s="15"/>
      <c r="O27" s="15"/>
      <c r="P27" s="15"/>
      <c r="Q27" s="15"/>
      <c r="R27" s="16">
        <f t="shared" si="1"/>
        <v>0</v>
      </c>
      <c r="S27" s="20"/>
      <c r="T27" s="21" t="e">
        <f>bdrate($D27:$D30,E27:E30,$L27:$L30,M27:M30)</f>
        <v>#VALUE!</v>
      </c>
      <c r="U27" s="22" t="e">
        <f>bdrate($D27:$D30,F27:F30,$L27:$L30,N27:N30)</f>
        <v>#VALUE!</v>
      </c>
      <c r="V27" s="22" t="e">
        <f>bdrate($D27:$D30,G27:G30,$L27:$L30,O27:O30)</f>
        <v>#VALUE!</v>
      </c>
      <c r="W27" s="44" t="e">
        <f>bdrateOld($D27:$D30,E27:E30,$L27:$L30,M27:M30)</f>
        <v>#VALUE!</v>
      </c>
      <c r="X27" s="45" t="e">
        <f>bdrateOld($D27:$D30,F27:F30,$L27:$L30,N27:N30)</f>
        <v>#VALUE!</v>
      </c>
      <c r="Y27" s="46" t="e">
        <f>bdrateOld($D27:$D30,G27:G30,$L27:$L30,O27:O30)</f>
        <v>#VALUE!</v>
      </c>
      <c r="Z27" s="122" t="e">
        <f t="shared" si="2"/>
        <v>#DIV/0!</v>
      </c>
      <c r="AA27" s="140" t="e">
        <f>AVERAGE(Z27:Z30)</f>
        <v>#DIV/0!</v>
      </c>
      <c r="AB27" s="144" t="e">
        <f ca="1">[1]!BJM(D27:E30,L27:M30,0)</f>
        <v>#NAME?</v>
      </c>
      <c r="AC27" s="144"/>
    </row>
    <row r="28" spans="1:29" x14ac:dyDescent="0.2">
      <c r="A28" s="24"/>
      <c r="B28" s="24"/>
      <c r="C28" s="24">
        <v>27</v>
      </c>
      <c r="D28" s="25"/>
      <c r="E28" s="26"/>
      <c r="F28" s="26"/>
      <c r="G28" s="26"/>
      <c r="H28" s="26"/>
      <c r="I28" s="26"/>
      <c r="J28" s="27">
        <f t="shared" si="0"/>
        <v>0</v>
      </c>
      <c r="L28" s="25"/>
      <c r="M28" s="26"/>
      <c r="N28" s="26"/>
      <c r="O28" s="26"/>
      <c r="P28" s="26"/>
      <c r="Q28" s="26"/>
      <c r="R28" s="27">
        <f t="shared" si="1"/>
        <v>0</v>
      </c>
      <c r="S28" s="20"/>
      <c r="T28" s="31"/>
      <c r="U28" s="32"/>
      <c r="V28" s="32"/>
      <c r="W28" s="31"/>
      <c r="X28" s="32"/>
      <c r="Y28" s="33"/>
      <c r="Z28" s="122" t="e">
        <f t="shared" si="2"/>
        <v>#DIV/0!</v>
      </c>
      <c r="AA28" s="141"/>
      <c r="AB28" s="145"/>
      <c r="AC28" s="144"/>
    </row>
    <row r="29" spans="1:29" x14ac:dyDescent="0.2">
      <c r="A29" s="24"/>
      <c r="B29" s="24"/>
      <c r="C29" s="24">
        <v>32</v>
      </c>
      <c r="D29" s="25"/>
      <c r="E29" s="26"/>
      <c r="F29" s="26"/>
      <c r="G29" s="26"/>
      <c r="H29" s="26"/>
      <c r="I29" s="26"/>
      <c r="J29" s="27">
        <f t="shared" si="0"/>
        <v>0</v>
      </c>
      <c r="L29" s="25"/>
      <c r="M29" s="26"/>
      <c r="N29" s="26"/>
      <c r="O29" s="26"/>
      <c r="P29" s="26"/>
      <c r="Q29" s="26"/>
      <c r="R29" s="27">
        <f t="shared" si="1"/>
        <v>0</v>
      </c>
      <c r="S29" s="20"/>
      <c r="T29" s="31"/>
      <c r="U29" s="32"/>
      <c r="V29" s="32"/>
      <c r="W29" s="31"/>
      <c r="X29" s="32"/>
      <c r="Y29" s="33"/>
      <c r="Z29" s="122" t="e">
        <f t="shared" si="2"/>
        <v>#DIV/0!</v>
      </c>
      <c r="AA29" s="141"/>
      <c r="AB29" s="145"/>
      <c r="AC29" s="144"/>
    </row>
    <row r="30" spans="1:29" ht="12.75" thickBot="1" x14ac:dyDescent="0.25">
      <c r="A30" s="24"/>
      <c r="B30" s="34"/>
      <c r="C30" s="34">
        <v>37</v>
      </c>
      <c r="D30" s="35"/>
      <c r="E30" s="36"/>
      <c r="F30" s="36"/>
      <c r="G30" s="36"/>
      <c r="H30" s="36"/>
      <c r="I30" s="36"/>
      <c r="J30" s="37">
        <f t="shared" si="0"/>
        <v>0</v>
      </c>
      <c r="L30" s="35"/>
      <c r="M30" s="36"/>
      <c r="N30" s="36"/>
      <c r="O30" s="36"/>
      <c r="P30" s="36"/>
      <c r="Q30" s="36"/>
      <c r="R30" s="37">
        <f t="shared" si="1"/>
        <v>0</v>
      </c>
      <c r="S30" s="20"/>
      <c r="T30" s="41"/>
      <c r="U30" s="42"/>
      <c r="V30" s="42"/>
      <c r="W30" s="41"/>
      <c r="X30" s="42"/>
      <c r="Y30" s="43"/>
      <c r="Z30" s="123" t="e">
        <f t="shared" si="2"/>
        <v>#DIV/0!</v>
      </c>
      <c r="AA30" s="142"/>
      <c r="AB30" s="145"/>
      <c r="AC30" s="144"/>
    </row>
    <row r="31" spans="1:29" x14ac:dyDescent="0.2">
      <c r="A31" s="24"/>
      <c r="B31" s="13" t="s">
        <v>12</v>
      </c>
      <c r="C31" s="13">
        <v>22</v>
      </c>
      <c r="D31" s="14"/>
      <c r="E31" s="15"/>
      <c r="F31" s="15"/>
      <c r="G31" s="15"/>
      <c r="H31" s="15"/>
      <c r="I31" s="15"/>
      <c r="J31" s="16">
        <f t="shared" si="0"/>
        <v>0</v>
      </c>
      <c r="L31" s="14"/>
      <c r="M31" s="15"/>
      <c r="N31" s="15"/>
      <c r="O31" s="15"/>
      <c r="P31" s="15"/>
      <c r="Q31" s="15"/>
      <c r="R31" s="16">
        <f t="shared" si="1"/>
        <v>0</v>
      </c>
      <c r="S31" s="20"/>
      <c r="T31" s="21" t="e">
        <f>bdrate($D31:$D34,E31:E34,$L31:$L34,M31:M34)</f>
        <v>#VALUE!</v>
      </c>
      <c r="U31" s="22" t="e">
        <f>bdrate($D31:$D34,F31:F34,$L31:$L34,N31:N34)</f>
        <v>#VALUE!</v>
      </c>
      <c r="V31" s="22" t="e">
        <f>bdrate($D31:$D34,G31:G34,$L31:$L34,O31:O34)</f>
        <v>#VALUE!</v>
      </c>
      <c r="W31" s="44" t="e">
        <f>bdrateOld($D31:$D34,E31:E34,$L31:$L34,M31:M34)</f>
        <v>#VALUE!</v>
      </c>
      <c r="X31" s="45" t="e">
        <f>bdrateOld($D31:$D34,F31:F34,$L31:$L34,N31:N34)</f>
        <v>#VALUE!</v>
      </c>
      <c r="Y31" s="46" t="e">
        <f>bdrateOld($D31:$D34,G31:G34,$L31:$L34,O31:O34)</f>
        <v>#VALUE!</v>
      </c>
      <c r="Z31" s="122" t="e">
        <f t="shared" si="2"/>
        <v>#DIV/0!</v>
      </c>
      <c r="AA31" s="140" t="e">
        <f>AVERAGE(Z31:Z34)</f>
        <v>#DIV/0!</v>
      </c>
      <c r="AB31" s="144" t="e">
        <f ca="1">[1]!BJM(D31:E34,L31:M34,0)</f>
        <v>#NAME?</v>
      </c>
      <c r="AC31" s="144"/>
    </row>
    <row r="32" spans="1:29" x14ac:dyDescent="0.2">
      <c r="A32" s="24"/>
      <c r="B32" s="24"/>
      <c r="C32" s="24">
        <v>27</v>
      </c>
      <c r="D32" s="25"/>
      <c r="E32" s="26"/>
      <c r="F32" s="26"/>
      <c r="G32" s="26"/>
      <c r="H32" s="26"/>
      <c r="I32" s="26"/>
      <c r="J32" s="27">
        <f t="shared" si="0"/>
        <v>0</v>
      </c>
      <c r="L32" s="25"/>
      <c r="M32" s="26"/>
      <c r="N32" s="26"/>
      <c r="O32" s="26"/>
      <c r="P32" s="26"/>
      <c r="Q32" s="26"/>
      <c r="R32" s="27">
        <f t="shared" si="1"/>
        <v>0</v>
      </c>
      <c r="S32" s="20"/>
      <c r="T32" s="31"/>
      <c r="U32" s="32"/>
      <c r="V32" s="32"/>
      <c r="W32" s="31"/>
      <c r="X32" s="32"/>
      <c r="Y32" s="33"/>
      <c r="Z32" s="122" t="e">
        <f t="shared" si="2"/>
        <v>#DIV/0!</v>
      </c>
      <c r="AA32" s="141"/>
      <c r="AB32" s="145"/>
      <c r="AC32" s="144"/>
    </row>
    <row r="33" spans="1:29" x14ac:dyDescent="0.2">
      <c r="A33" s="24"/>
      <c r="B33" s="24"/>
      <c r="C33" s="24">
        <v>32</v>
      </c>
      <c r="D33" s="25"/>
      <c r="E33" s="26"/>
      <c r="F33" s="26"/>
      <c r="G33" s="26"/>
      <c r="H33" s="26"/>
      <c r="I33" s="26"/>
      <c r="J33" s="27">
        <f t="shared" si="0"/>
        <v>0</v>
      </c>
      <c r="L33" s="25"/>
      <c r="M33" s="26"/>
      <c r="N33" s="26"/>
      <c r="O33" s="26"/>
      <c r="P33" s="26"/>
      <c r="Q33" s="26"/>
      <c r="R33" s="27">
        <f t="shared" si="1"/>
        <v>0</v>
      </c>
      <c r="S33" s="20"/>
      <c r="T33" s="31"/>
      <c r="U33" s="32"/>
      <c r="V33" s="32"/>
      <c r="W33" s="31"/>
      <c r="X33" s="32"/>
      <c r="Y33" s="33"/>
      <c r="Z33" s="122" t="e">
        <f t="shared" si="2"/>
        <v>#DIV/0!</v>
      </c>
      <c r="AA33" s="141"/>
      <c r="AB33" s="145"/>
      <c r="AC33" s="144"/>
    </row>
    <row r="34" spans="1:29" ht="12.75" thickBot="1" x14ac:dyDescent="0.25">
      <c r="A34" s="24"/>
      <c r="B34" s="34"/>
      <c r="C34" s="34">
        <v>37</v>
      </c>
      <c r="D34" s="35"/>
      <c r="E34" s="36"/>
      <c r="F34" s="36"/>
      <c r="G34" s="36"/>
      <c r="H34" s="36"/>
      <c r="I34" s="36"/>
      <c r="J34" s="37">
        <f t="shared" si="0"/>
        <v>0</v>
      </c>
      <c r="L34" s="35"/>
      <c r="M34" s="36"/>
      <c r="N34" s="36"/>
      <c r="O34" s="36"/>
      <c r="P34" s="36"/>
      <c r="Q34" s="36"/>
      <c r="R34" s="37">
        <f t="shared" si="1"/>
        <v>0</v>
      </c>
      <c r="S34" s="20"/>
      <c r="T34" s="41"/>
      <c r="U34" s="42"/>
      <c r="V34" s="42"/>
      <c r="W34" s="41"/>
      <c r="X34" s="42"/>
      <c r="Y34" s="43"/>
      <c r="Z34" s="123" t="e">
        <f t="shared" si="2"/>
        <v>#DIV/0!</v>
      </c>
      <c r="AA34" s="142"/>
      <c r="AB34" s="145"/>
      <c r="AC34" s="144"/>
    </row>
    <row r="35" spans="1:29" x14ac:dyDescent="0.2">
      <c r="A35" s="24"/>
      <c r="B35" s="13" t="s">
        <v>13</v>
      </c>
      <c r="C35" s="13">
        <v>22</v>
      </c>
      <c r="D35" s="14"/>
      <c r="E35" s="15"/>
      <c r="F35" s="15"/>
      <c r="G35" s="15"/>
      <c r="H35" s="15"/>
      <c r="I35" s="15"/>
      <c r="J35" s="16">
        <f t="shared" si="0"/>
        <v>0</v>
      </c>
      <c r="L35" s="14"/>
      <c r="M35" s="15"/>
      <c r="N35" s="15"/>
      <c r="O35" s="15"/>
      <c r="P35" s="15"/>
      <c r="Q35" s="15"/>
      <c r="R35" s="16">
        <f t="shared" si="1"/>
        <v>0</v>
      </c>
      <c r="S35" s="20"/>
      <c r="T35" s="21" t="e">
        <f>bdrate($D35:$D38,E35:E38,$L35:$L38,M35:M38)</f>
        <v>#VALUE!</v>
      </c>
      <c r="U35" s="22" t="e">
        <f>bdrate($D35:$D38,F35:F38,$L35:$L38,N35:N38)</f>
        <v>#VALUE!</v>
      </c>
      <c r="V35" s="22" t="e">
        <f>bdrate($D35:$D38,G35:G38,$L35:$L38,O35:O38)</f>
        <v>#VALUE!</v>
      </c>
      <c r="W35" s="44" t="e">
        <f>bdrateOld($D35:$D38,E35:E38,$L35:$L38,M35:M38)</f>
        <v>#VALUE!</v>
      </c>
      <c r="X35" s="45" t="e">
        <f>bdrateOld($D35:$D38,F35:F38,$L35:$L38,N35:N38)</f>
        <v>#VALUE!</v>
      </c>
      <c r="Y35" s="46" t="e">
        <f>bdrateOld($D35:$D38,G35:G38,$L35:$L38,O35:O38)</f>
        <v>#VALUE!</v>
      </c>
      <c r="Z35" s="122" t="e">
        <f t="shared" si="2"/>
        <v>#DIV/0!</v>
      </c>
      <c r="AA35" s="140" t="e">
        <f>AVERAGE(Z35:Z38)</f>
        <v>#DIV/0!</v>
      </c>
      <c r="AB35" s="144" t="e">
        <f ca="1">[1]!BJM(D35:E38,L35:M38,0)</f>
        <v>#NAME?</v>
      </c>
      <c r="AC35" s="144"/>
    </row>
    <row r="36" spans="1:29" x14ac:dyDescent="0.2">
      <c r="A36" s="24"/>
      <c r="B36" s="24"/>
      <c r="C36" s="24">
        <v>27</v>
      </c>
      <c r="D36" s="25"/>
      <c r="E36" s="26"/>
      <c r="F36" s="26"/>
      <c r="G36" s="26"/>
      <c r="H36" s="26"/>
      <c r="I36" s="26"/>
      <c r="J36" s="27">
        <f t="shared" si="0"/>
        <v>0</v>
      </c>
      <c r="L36" s="25"/>
      <c r="M36" s="26"/>
      <c r="N36" s="26"/>
      <c r="O36" s="26"/>
      <c r="P36" s="26"/>
      <c r="Q36" s="26"/>
      <c r="R36" s="27">
        <f t="shared" si="1"/>
        <v>0</v>
      </c>
      <c r="S36" s="20"/>
      <c r="T36" s="31"/>
      <c r="U36" s="32"/>
      <c r="V36" s="32"/>
      <c r="W36" s="31"/>
      <c r="X36" s="32"/>
      <c r="Y36" s="33"/>
      <c r="Z36" s="122" t="e">
        <f t="shared" si="2"/>
        <v>#DIV/0!</v>
      </c>
      <c r="AA36" s="141"/>
      <c r="AB36" s="145"/>
      <c r="AC36" s="144"/>
    </row>
    <row r="37" spans="1:29" x14ac:dyDescent="0.2">
      <c r="A37" s="24"/>
      <c r="B37" s="24"/>
      <c r="C37" s="24">
        <v>32</v>
      </c>
      <c r="D37" s="25"/>
      <c r="E37" s="26"/>
      <c r="F37" s="26"/>
      <c r="G37" s="26"/>
      <c r="H37" s="26"/>
      <c r="I37" s="26"/>
      <c r="J37" s="27">
        <f t="shared" si="0"/>
        <v>0</v>
      </c>
      <c r="L37" s="25"/>
      <c r="M37" s="26"/>
      <c r="N37" s="26"/>
      <c r="O37" s="26"/>
      <c r="P37" s="26"/>
      <c r="Q37" s="26"/>
      <c r="R37" s="27">
        <f t="shared" si="1"/>
        <v>0</v>
      </c>
      <c r="S37" s="20"/>
      <c r="T37" s="31"/>
      <c r="U37" s="32"/>
      <c r="V37" s="32"/>
      <c r="W37" s="31"/>
      <c r="X37" s="32"/>
      <c r="Y37" s="33"/>
      <c r="Z37" s="122" t="e">
        <f t="shared" si="2"/>
        <v>#DIV/0!</v>
      </c>
      <c r="AA37" s="141"/>
      <c r="AB37" s="145"/>
      <c r="AC37" s="144"/>
    </row>
    <row r="38" spans="1:29" ht="12.75" thickBot="1" x14ac:dyDescent="0.25">
      <c r="A38" s="34"/>
      <c r="B38" s="34"/>
      <c r="C38" s="34">
        <v>37</v>
      </c>
      <c r="D38" s="35"/>
      <c r="E38" s="36"/>
      <c r="F38" s="36"/>
      <c r="G38" s="36"/>
      <c r="H38" s="36"/>
      <c r="I38" s="36"/>
      <c r="J38" s="37">
        <f t="shared" si="0"/>
        <v>0</v>
      </c>
      <c r="L38" s="35"/>
      <c r="M38" s="36"/>
      <c r="N38" s="36"/>
      <c r="O38" s="36"/>
      <c r="P38" s="36"/>
      <c r="Q38" s="36"/>
      <c r="R38" s="37">
        <f t="shared" si="1"/>
        <v>0</v>
      </c>
      <c r="S38" s="20"/>
      <c r="T38" s="41"/>
      <c r="U38" s="42"/>
      <c r="V38" s="42"/>
      <c r="W38" s="41"/>
      <c r="X38" s="42"/>
      <c r="Y38" s="43"/>
      <c r="Z38" s="123" t="e">
        <f t="shared" si="2"/>
        <v>#DIV/0!</v>
      </c>
      <c r="AA38" s="142"/>
      <c r="AB38" s="145"/>
      <c r="AC38" s="144"/>
    </row>
    <row r="39" spans="1:29" x14ac:dyDescent="0.2">
      <c r="A39" s="13" t="s">
        <v>14</v>
      </c>
      <c r="B39" s="13" t="s">
        <v>15</v>
      </c>
      <c r="C39" s="13">
        <v>22</v>
      </c>
      <c r="D39" s="14"/>
      <c r="E39" s="15"/>
      <c r="F39" s="15"/>
      <c r="G39" s="15"/>
      <c r="H39" s="15"/>
      <c r="I39" s="15"/>
      <c r="J39" s="16">
        <f t="shared" si="0"/>
        <v>0</v>
      </c>
      <c r="L39" s="14"/>
      <c r="M39" s="15"/>
      <c r="N39" s="15"/>
      <c r="O39" s="15"/>
      <c r="P39" s="15"/>
      <c r="Q39" s="15"/>
      <c r="R39" s="16">
        <f t="shared" si="1"/>
        <v>0</v>
      </c>
      <c r="S39" s="20"/>
      <c r="T39" s="21" t="e">
        <f>bdrate($D39:$D42,E39:E42,$L39:$L42,M39:M42)</f>
        <v>#VALUE!</v>
      </c>
      <c r="U39" s="22" t="e">
        <f>bdrate($D39:$D42,F39:F42,$L39:$L42,N39:N42)</f>
        <v>#VALUE!</v>
      </c>
      <c r="V39" s="22" t="e">
        <f>bdrate($D39:$D42,G39:G42,$L39:$L42,O39:O42)</f>
        <v>#VALUE!</v>
      </c>
      <c r="W39" s="44" t="e">
        <f>bdrateOld($D39:$D42,E39:E42,$L39:$L42,M39:M42)</f>
        <v>#VALUE!</v>
      </c>
      <c r="X39" s="45" t="e">
        <f>bdrateOld($D39:$D42,F39:F42,$L39:$L42,N39:N42)</f>
        <v>#VALUE!</v>
      </c>
      <c r="Y39" s="46" t="e">
        <f>bdrateOld($D39:$D42,G39:G42,$L39:$L42,O39:O42)</f>
        <v>#VALUE!</v>
      </c>
      <c r="Z39" s="122" t="e">
        <f t="shared" si="2"/>
        <v>#DIV/0!</v>
      </c>
      <c r="AA39" s="140" t="e">
        <f>AVERAGE(Z39:Z42)</f>
        <v>#DIV/0!</v>
      </c>
      <c r="AB39" s="144" t="e">
        <f ca="1">[1]!BJM(D39:E42,L39:M42,0)</f>
        <v>#NAME?</v>
      </c>
      <c r="AC39" s="144"/>
    </row>
    <row r="40" spans="1:29" x14ac:dyDescent="0.2">
      <c r="A40" s="24" t="s">
        <v>16</v>
      </c>
      <c r="B40" s="24"/>
      <c r="C40" s="24">
        <v>27</v>
      </c>
      <c r="D40" s="25"/>
      <c r="E40" s="26"/>
      <c r="F40" s="26"/>
      <c r="G40" s="26"/>
      <c r="H40" s="26"/>
      <c r="I40" s="26"/>
      <c r="J40" s="27">
        <f t="shared" si="0"/>
        <v>0</v>
      </c>
      <c r="L40" s="25"/>
      <c r="M40" s="26"/>
      <c r="N40" s="26"/>
      <c r="O40" s="26"/>
      <c r="P40" s="26"/>
      <c r="Q40" s="26"/>
      <c r="R40" s="27">
        <f t="shared" si="1"/>
        <v>0</v>
      </c>
      <c r="S40" s="20"/>
      <c r="T40" s="31"/>
      <c r="U40" s="32"/>
      <c r="V40" s="32"/>
      <c r="W40" s="31"/>
      <c r="X40" s="32"/>
      <c r="Y40" s="33"/>
      <c r="Z40" s="122" t="e">
        <f t="shared" si="2"/>
        <v>#DIV/0!</v>
      </c>
      <c r="AA40" s="141"/>
      <c r="AB40" s="145"/>
      <c r="AC40" s="144"/>
    </row>
    <row r="41" spans="1:29" x14ac:dyDescent="0.2">
      <c r="A41" s="24"/>
      <c r="B41" s="24"/>
      <c r="C41" s="24">
        <v>32</v>
      </c>
      <c r="D41" s="25"/>
      <c r="E41" s="26"/>
      <c r="F41" s="26"/>
      <c r="G41" s="26"/>
      <c r="H41" s="26"/>
      <c r="I41" s="26"/>
      <c r="J41" s="27">
        <f t="shared" si="0"/>
        <v>0</v>
      </c>
      <c r="L41" s="25"/>
      <c r="M41" s="26"/>
      <c r="N41" s="26"/>
      <c r="O41" s="26"/>
      <c r="P41" s="26"/>
      <c r="Q41" s="26"/>
      <c r="R41" s="27">
        <f t="shared" si="1"/>
        <v>0</v>
      </c>
      <c r="S41" s="20"/>
      <c r="T41" s="31"/>
      <c r="U41" s="32"/>
      <c r="V41" s="32"/>
      <c r="W41" s="31"/>
      <c r="X41" s="32"/>
      <c r="Y41" s="33"/>
      <c r="Z41" s="122" t="e">
        <f t="shared" si="2"/>
        <v>#DIV/0!</v>
      </c>
      <c r="AA41" s="141"/>
      <c r="AB41" s="145"/>
      <c r="AC41" s="144"/>
    </row>
    <row r="42" spans="1:29" ht="12.75" thickBot="1" x14ac:dyDescent="0.25">
      <c r="A42" s="24"/>
      <c r="B42" s="34"/>
      <c r="C42" s="34">
        <v>37</v>
      </c>
      <c r="D42" s="35"/>
      <c r="E42" s="36"/>
      <c r="F42" s="36"/>
      <c r="G42" s="36"/>
      <c r="H42" s="36"/>
      <c r="I42" s="36"/>
      <c r="J42" s="37">
        <f t="shared" si="0"/>
        <v>0</v>
      </c>
      <c r="L42" s="35"/>
      <c r="M42" s="36"/>
      <c r="N42" s="36"/>
      <c r="O42" s="36"/>
      <c r="P42" s="36"/>
      <c r="Q42" s="36"/>
      <c r="R42" s="37">
        <f t="shared" si="1"/>
        <v>0</v>
      </c>
      <c r="S42" s="20"/>
      <c r="T42" s="41"/>
      <c r="U42" s="42"/>
      <c r="V42" s="42"/>
      <c r="W42" s="41"/>
      <c r="X42" s="42"/>
      <c r="Y42" s="43"/>
      <c r="Z42" s="123" t="e">
        <f t="shared" si="2"/>
        <v>#DIV/0!</v>
      </c>
      <c r="AA42" s="142"/>
      <c r="AB42" s="145"/>
      <c r="AC42" s="144"/>
    </row>
    <row r="43" spans="1:29" x14ac:dyDescent="0.2">
      <c r="A43" s="24"/>
      <c r="B43" s="13" t="s">
        <v>17</v>
      </c>
      <c r="C43" s="13">
        <v>22</v>
      </c>
      <c r="D43" s="14"/>
      <c r="E43" s="15"/>
      <c r="F43" s="15"/>
      <c r="G43" s="15"/>
      <c r="H43" s="15"/>
      <c r="I43" s="15"/>
      <c r="J43" s="16">
        <f t="shared" si="0"/>
        <v>0</v>
      </c>
      <c r="L43" s="14"/>
      <c r="M43" s="15"/>
      <c r="N43" s="15"/>
      <c r="O43" s="15"/>
      <c r="P43" s="15"/>
      <c r="Q43" s="15"/>
      <c r="R43" s="16">
        <f t="shared" si="1"/>
        <v>0</v>
      </c>
      <c r="S43" s="20"/>
      <c r="T43" s="21" t="e">
        <f>bdrate($D43:$D46,E43:E46,$L43:$L46,M43:M46)</f>
        <v>#VALUE!</v>
      </c>
      <c r="U43" s="22" t="e">
        <f>bdrate($D43:$D46,F43:F46,$L43:$L46,N43:N46)</f>
        <v>#VALUE!</v>
      </c>
      <c r="V43" s="22" t="e">
        <f>bdrate($D43:$D46,G43:G46,$L43:$L46,O43:O46)</f>
        <v>#VALUE!</v>
      </c>
      <c r="W43" s="44" t="e">
        <f>bdrateOld($D43:$D46,E43:E46,$L43:$L46,M43:M46)</f>
        <v>#VALUE!</v>
      </c>
      <c r="X43" s="45" t="e">
        <f>bdrateOld($D43:$D46,F43:F46,$L43:$L46,N43:N46)</f>
        <v>#VALUE!</v>
      </c>
      <c r="Y43" s="46" t="e">
        <f>bdrateOld($D43:$D46,G43:G46,$L43:$L46,O43:O46)</f>
        <v>#VALUE!</v>
      </c>
      <c r="Z43" s="122" t="e">
        <f t="shared" si="2"/>
        <v>#DIV/0!</v>
      </c>
      <c r="AA43" s="140" t="e">
        <f>AVERAGE(Z43:Z46)</f>
        <v>#DIV/0!</v>
      </c>
      <c r="AB43" s="144" t="e">
        <f ca="1">[1]!BJM(D43:E46,L43:M46,0)</f>
        <v>#NAME?</v>
      </c>
      <c r="AC43" s="144"/>
    </row>
    <row r="44" spans="1:29" x14ac:dyDescent="0.2">
      <c r="A44" s="24"/>
      <c r="B44" s="24"/>
      <c r="C44" s="24">
        <v>27</v>
      </c>
      <c r="D44" s="25"/>
      <c r="E44" s="26"/>
      <c r="F44" s="26"/>
      <c r="G44" s="26"/>
      <c r="H44" s="26"/>
      <c r="I44" s="26"/>
      <c r="J44" s="27">
        <f t="shared" si="0"/>
        <v>0</v>
      </c>
      <c r="L44" s="25"/>
      <c r="M44" s="26"/>
      <c r="N44" s="26"/>
      <c r="O44" s="26"/>
      <c r="P44" s="26"/>
      <c r="Q44" s="26"/>
      <c r="R44" s="27">
        <f t="shared" si="1"/>
        <v>0</v>
      </c>
      <c r="S44" s="20"/>
      <c r="T44" s="31"/>
      <c r="U44" s="32"/>
      <c r="V44" s="32"/>
      <c r="W44" s="31"/>
      <c r="X44" s="32"/>
      <c r="Y44" s="33"/>
      <c r="Z44" s="122" t="e">
        <f t="shared" si="2"/>
        <v>#DIV/0!</v>
      </c>
      <c r="AA44" s="141"/>
      <c r="AB44" s="145"/>
      <c r="AC44" s="144"/>
    </row>
    <row r="45" spans="1:29" x14ac:dyDescent="0.2">
      <c r="A45" s="24"/>
      <c r="B45" s="24"/>
      <c r="C45" s="24">
        <v>32</v>
      </c>
      <c r="D45" s="25"/>
      <c r="E45" s="26"/>
      <c r="F45" s="26"/>
      <c r="G45" s="26"/>
      <c r="H45" s="26"/>
      <c r="I45" s="26"/>
      <c r="J45" s="27">
        <f t="shared" si="0"/>
        <v>0</v>
      </c>
      <c r="L45" s="25"/>
      <c r="M45" s="26"/>
      <c r="N45" s="26"/>
      <c r="O45" s="26"/>
      <c r="P45" s="26"/>
      <c r="Q45" s="26"/>
      <c r="R45" s="27">
        <f t="shared" si="1"/>
        <v>0</v>
      </c>
      <c r="S45" s="20"/>
      <c r="T45" s="31"/>
      <c r="U45" s="32"/>
      <c r="V45" s="32"/>
      <c r="W45" s="31"/>
      <c r="X45" s="32"/>
      <c r="Y45" s="33"/>
      <c r="Z45" s="122" t="e">
        <f t="shared" si="2"/>
        <v>#DIV/0!</v>
      </c>
      <c r="AA45" s="141"/>
      <c r="AB45" s="145"/>
      <c r="AC45" s="144"/>
    </row>
    <row r="46" spans="1:29" ht="12.75" thickBot="1" x14ac:dyDescent="0.25">
      <c r="A46" s="24"/>
      <c r="B46" s="34"/>
      <c r="C46" s="34">
        <v>37</v>
      </c>
      <c r="D46" s="35"/>
      <c r="E46" s="36"/>
      <c r="F46" s="36"/>
      <c r="G46" s="36"/>
      <c r="H46" s="36"/>
      <c r="I46" s="36"/>
      <c r="J46" s="37">
        <f t="shared" si="0"/>
        <v>0</v>
      </c>
      <c r="L46" s="35"/>
      <c r="M46" s="36"/>
      <c r="N46" s="36"/>
      <c r="O46" s="36"/>
      <c r="P46" s="36"/>
      <c r="Q46" s="36"/>
      <c r="R46" s="37">
        <f t="shared" si="1"/>
        <v>0</v>
      </c>
      <c r="S46" s="20"/>
      <c r="T46" s="41"/>
      <c r="U46" s="42"/>
      <c r="V46" s="42"/>
      <c r="W46" s="41"/>
      <c r="X46" s="42"/>
      <c r="Y46" s="43"/>
      <c r="Z46" s="123" t="e">
        <f t="shared" si="2"/>
        <v>#DIV/0!</v>
      </c>
      <c r="AA46" s="142"/>
      <c r="AB46" s="145"/>
      <c r="AC46" s="144"/>
    </row>
    <row r="47" spans="1:29" x14ac:dyDescent="0.2">
      <c r="A47" s="24"/>
      <c r="B47" s="13" t="s">
        <v>18</v>
      </c>
      <c r="C47" s="13">
        <v>22</v>
      </c>
      <c r="D47" s="14"/>
      <c r="E47" s="15"/>
      <c r="F47" s="15"/>
      <c r="G47" s="15"/>
      <c r="H47" s="15"/>
      <c r="I47" s="15"/>
      <c r="J47" s="16">
        <f t="shared" si="0"/>
        <v>0</v>
      </c>
      <c r="L47" s="14"/>
      <c r="M47" s="15"/>
      <c r="N47" s="15"/>
      <c r="O47" s="15"/>
      <c r="P47" s="15"/>
      <c r="Q47" s="15"/>
      <c r="R47" s="16">
        <f t="shared" si="1"/>
        <v>0</v>
      </c>
      <c r="S47" s="20"/>
      <c r="T47" s="21" t="e">
        <f>bdrate($D47:$D50,E47:E50,$L47:$L50,M47:M50)</f>
        <v>#VALUE!</v>
      </c>
      <c r="U47" s="22" t="e">
        <f>bdrate($D47:$D50,F47:F50,$L47:$L50,N47:N50)</f>
        <v>#VALUE!</v>
      </c>
      <c r="V47" s="22" t="e">
        <f>bdrate($D47:$D50,G47:G50,$L47:$L50,O47:O50)</f>
        <v>#VALUE!</v>
      </c>
      <c r="W47" s="44" t="e">
        <f>bdrateOld($D47:$D50,E47:E50,$L47:$L50,M47:M50)</f>
        <v>#VALUE!</v>
      </c>
      <c r="X47" s="45" t="e">
        <f>bdrateOld($D47:$D50,F47:F50,$L47:$L50,N47:N50)</f>
        <v>#VALUE!</v>
      </c>
      <c r="Y47" s="46" t="e">
        <f>bdrateOld($D47:$D50,G47:G50,$L47:$L50,O47:O50)</f>
        <v>#VALUE!</v>
      </c>
      <c r="Z47" s="122" t="e">
        <f t="shared" si="2"/>
        <v>#DIV/0!</v>
      </c>
      <c r="AA47" s="140" t="e">
        <f>AVERAGE(Z47:Z50)</f>
        <v>#DIV/0!</v>
      </c>
      <c r="AB47" s="144" t="e">
        <f ca="1">[1]!BJM(D47:E50,L47:M50,0)</f>
        <v>#NAME?</v>
      </c>
      <c r="AC47" s="144"/>
    </row>
    <row r="48" spans="1:29" x14ac:dyDescent="0.2">
      <c r="A48" s="24"/>
      <c r="B48" s="24"/>
      <c r="C48" s="24">
        <v>27</v>
      </c>
      <c r="D48" s="25"/>
      <c r="E48" s="26"/>
      <c r="F48" s="26"/>
      <c r="G48" s="26"/>
      <c r="H48" s="26"/>
      <c r="I48" s="26"/>
      <c r="J48" s="27">
        <f t="shared" si="0"/>
        <v>0</v>
      </c>
      <c r="L48" s="25"/>
      <c r="M48" s="26"/>
      <c r="N48" s="26"/>
      <c r="O48" s="26"/>
      <c r="P48" s="26"/>
      <c r="Q48" s="26"/>
      <c r="R48" s="27">
        <f t="shared" si="1"/>
        <v>0</v>
      </c>
      <c r="S48" s="20"/>
      <c r="T48" s="31"/>
      <c r="U48" s="32"/>
      <c r="V48" s="32"/>
      <c r="W48" s="31"/>
      <c r="X48" s="32"/>
      <c r="Y48" s="33"/>
      <c r="Z48" s="122" t="e">
        <f t="shared" si="2"/>
        <v>#DIV/0!</v>
      </c>
      <c r="AA48" s="127"/>
      <c r="AB48" s="145"/>
      <c r="AC48" s="144"/>
    </row>
    <row r="49" spans="1:29" x14ac:dyDescent="0.2">
      <c r="A49" s="24"/>
      <c r="B49" s="24"/>
      <c r="C49" s="24">
        <v>32</v>
      </c>
      <c r="D49" s="25"/>
      <c r="E49" s="26"/>
      <c r="F49" s="26"/>
      <c r="G49" s="26"/>
      <c r="H49" s="26"/>
      <c r="I49" s="26"/>
      <c r="J49" s="27">
        <f t="shared" si="0"/>
        <v>0</v>
      </c>
      <c r="L49" s="25"/>
      <c r="M49" s="26"/>
      <c r="N49" s="26"/>
      <c r="O49" s="26"/>
      <c r="P49" s="26"/>
      <c r="Q49" s="26"/>
      <c r="R49" s="27">
        <f t="shared" si="1"/>
        <v>0</v>
      </c>
      <c r="S49" s="20"/>
      <c r="T49" s="31"/>
      <c r="U49" s="32"/>
      <c r="V49" s="32"/>
      <c r="W49" s="31"/>
      <c r="X49" s="32"/>
      <c r="Y49" s="33"/>
      <c r="Z49" s="122" t="e">
        <f t="shared" si="2"/>
        <v>#DIV/0!</v>
      </c>
      <c r="AA49" s="127"/>
      <c r="AB49" s="145"/>
      <c r="AC49" s="144"/>
    </row>
    <row r="50" spans="1:29" ht="12.75" thickBot="1" x14ac:dyDescent="0.25">
      <c r="A50" s="24"/>
      <c r="B50" s="34"/>
      <c r="C50" s="34">
        <v>37</v>
      </c>
      <c r="D50" s="35"/>
      <c r="E50" s="36"/>
      <c r="F50" s="36"/>
      <c r="G50" s="36"/>
      <c r="H50" s="36"/>
      <c r="I50" s="36"/>
      <c r="J50" s="37">
        <f t="shared" si="0"/>
        <v>0</v>
      </c>
      <c r="L50" s="35"/>
      <c r="M50" s="36"/>
      <c r="N50" s="36"/>
      <c r="O50" s="36"/>
      <c r="P50" s="36"/>
      <c r="Q50" s="36"/>
      <c r="R50" s="37">
        <f t="shared" si="1"/>
        <v>0</v>
      </c>
      <c r="S50" s="20"/>
      <c r="T50" s="41"/>
      <c r="U50" s="42"/>
      <c r="V50" s="42"/>
      <c r="W50" s="41"/>
      <c r="X50" s="42"/>
      <c r="Y50" s="43"/>
      <c r="Z50" s="123" t="e">
        <f t="shared" si="2"/>
        <v>#DIV/0!</v>
      </c>
      <c r="AA50" s="43"/>
      <c r="AB50" s="145"/>
      <c r="AC50" s="144"/>
    </row>
    <row r="51" spans="1:29" x14ac:dyDescent="0.2">
      <c r="A51" s="24"/>
      <c r="B51" s="13" t="s">
        <v>19</v>
      </c>
      <c r="C51" s="13">
        <v>22</v>
      </c>
      <c r="D51" s="14"/>
      <c r="E51" s="15"/>
      <c r="F51" s="15"/>
      <c r="G51" s="15"/>
      <c r="H51" s="15"/>
      <c r="I51" s="15"/>
      <c r="J51" s="16">
        <f t="shared" si="0"/>
        <v>0</v>
      </c>
      <c r="L51" s="14"/>
      <c r="M51" s="15"/>
      <c r="N51" s="15"/>
      <c r="O51" s="15"/>
      <c r="P51" s="15"/>
      <c r="Q51" s="15"/>
      <c r="R51" s="16">
        <f t="shared" si="1"/>
        <v>0</v>
      </c>
      <c r="S51" s="20"/>
      <c r="T51" s="21" t="e">
        <f>bdrate($D51:$D54,E51:E54,$L51:$L54,M51:M54)</f>
        <v>#VALUE!</v>
      </c>
      <c r="U51" s="22" t="e">
        <f>bdrate($D51:$D54,F51:F54,$L51:$L54,N51:N54)</f>
        <v>#VALUE!</v>
      </c>
      <c r="V51" s="22" t="e">
        <f>bdrate($D51:$D54,G51:G54,$L51:$L54,O51:O54)</f>
        <v>#VALUE!</v>
      </c>
      <c r="W51" s="44" t="e">
        <f>bdrateOld($D51:$D54,E51:E54,$L51:$L54,M51:M54)</f>
        <v>#VALUE!</v>
      </c>
      <c r="X51" s="45" t="e">
        <f>bdrateOld($D51:$D54,F51:F54,$L51:$L54,N51:N54)</f>
        <v>#VALUE!</v>
      </c>
      <c r="Y51" s="46" t="e">
        <f>bdrateOld($D51:$D54,G51:G54,$L51:$L54,O51:O54)</f>
        <v>#VALUE!</v>
      </c>
      <c r="Z51" s="122" t="e">
        <f t="shared" si="2"/>
        <v>#DIV/0!</v>
      </c>
      <c r="AA51" s="140" t="e">
        <f>AVERAGE(Z51:Z54)</f>
        <v>#DIV/0!</v>
      </c>
      <c r="AB51" s="144" t="e">
        <f ca="1">[1]!BJM(D51:E54,L51:M54,0)</f>
        <v>#NAME?</v>
      </c>
      <c r="AC51" s="144"/>
    </row>
    <row r="52" spans="1:29" x14ac:dyDescent="0.2">
      <c r="A52" s="24"/>
      <c r="B52" s="24"/>
      <c r="C52" s="24">
        <v>27</v>
      </c>
      <c r="D52" s="25"/>
      <c r="E52" s="26"/>
      <c r="F52" s="26"/>
      <c r="G52" s="26"/>
      <c r="H52" s="26"/>
      <c r="I52" s="26"/>
      <c r="J52" s="27">
        <f t="shared" si="0"/>
        <v>0</v>
      </c>
      <c r="L52" s="25"/>
      <c r="M52" s="26"/>
      <c r="N52" s="26"/>
      <c r="O52" s="26"/>
      <c r="P52" s="26"/>
      <c r="Q52" s="26"/>
      <c r="R52" s="27">
        <f t="shared" si="1"/>
        <v>0</v>
      </c>
      <c r="S52" s="20"/>
      <c r="T52" s="31"/>
      <c r="U52" s="32"/>
      <c r="V52" s="32"/>
      <c r="W52" s="31"/>
      <c r="X52" s="32"/>
      <c r="Y52" s="33"/>
      <c r="Z52" s="122" t="e">
        <f t="shared" si="2"/>
        <v>#DIV/0!</v>
      </c>
      <c r="AA52" s="33"/>
      <c r="AB52" s="145"/>
      <c r="AC52" s="144"/>
    </row>
    <row r="53" spans="1:29" x14ac:dyDescent="0.2">
      <c r="A53" s="24"/>
      <c r="B53" s="24"/>
      <c r="C53" s="24">
        <v>32</v>
      </c>
      <c r="D53" s="25"/>
      <c r="E53" s="26"/>
      <c r="F53" s="26"/>
      <c r="G53" s="26"/>
      <c r="H53" s="26"/>
      <c r="I53" s="26"/>
      <c r="J53" s="27">
        <f t="shared" si="0"/>
        <v>0</v>
      </c>
      <c r="L53" s="25"/>
      <c r="M53" s="26"/>
      <c r="N53" s="26"/>
      <c r="O53" s="26"/>
      <c r="P53" s="26"/>
      <c r="Q53" s="26"/>
      <c r="R53" s="27">
        <f t="shared" si="1"/>
        <v>0</v>
      </c>
      <c r="S53" s="20"/>
      <c r="T53" s="31"/>
      <c r="U53" s="32"/>
      <c r="V53" s="32"/>
      <c r="W53" s="31"/>
      <c r="X53" s="32"/>
      <c r="Y53" s="33"/>
      <c r="Z53" s="122" t="e">
        <f t="shared" si="2"/>
        <v>#DIV/0!</v>
      </c>
      <c r="AA53" s="33"/>
      <c r="AB53" s="145"/>
      <c r="AC53" s="144"/>
    </row>
    <row r="54" spans="1:29" ht="12.75" thickBot="1" x14ac:dyDescent="0.25">
      <c r="A54" s="34"/>
      <c r="B54" s="34"/>
      <c r="C54" s="34">
        <v>37</v>
      </c>
      <c r="D54" s="35"/>
      <c r="E54" s="36"/>
      <c r="F54" s="36"/>
      <c r="G54" s="36"/>
      <c r="H54" s="36"/>
      <c r="I54" s="36"/>
      <c r="J54" s="37">
        <f t="shared" si="0"/>
        <v>0</v>
      </c>
      <c r="L54" s="35"/>
      <c r="M54" s="36"/>
      <c r="N54" s="36"/>
      <c r="O54" s="36"/>
      <c r="P54" s="36"/>
      <c r="Q54" s="36"/>
      <c r="R54" s="37">
        <f t="shared" si="1"/>
        <v>0</v>
      </c>
      <c r="S54" s="20"/>
      <c r="T54" s="41"/>
      <c r="U54" s="42"/>
      <c r="V54" s="42"/>
      <c r="W54" s="41"/>
      <c r="X54" s="42"/>
      <c r="Y54" s="43"/>
      <c r="Z54" s="123" t="e">
        <f t="shared" si="2"/>
        <v>#DIV/0!</v>
      </c>
      <c r="AA54" s="43"/>
      <c r="AB54" s="145"/>
      <c r="AC54" s="144"/>
    </row>
    <row r="55" spans="1:29" x14ac:dyDescent="0.2">
      <c r="A55" s="13" t="s">
        <v>20</v>
      </c>
      <c r="B55" s="13" t="s">
        <v>21</v>
      </c>
      <c r="C55" s="13">
        <v>22</v>
      </c>
      <c r="D55" s="14"/>
      <c r="E55" s="15"/>
      <c r="F55" s="15"/>
      <c r="G55" s="15"/>
      <c r="H55" s="15"/>
      <c r="I55" s="15"/>
      <c r="J55" s="16">
        <f t="shared" si="0"/>
        <v>0</v>
      </c>
      <c r="L55" s="14"/>
      <c r="M55" s="15"/>
      <c r="N55" s="15"/>
      <c r="O55" s="15"/>
      <c r="P55" s="15"/>
      <c r="Q55" s="15"/>
      <c r="R55" s="16">
        <f t="shared" si="1"/>
        <v>0</v>
      </c>
      <c r="S55" s="20"/>
      <c r="T55" s="21" t="e">
        <f>bdrate($D55:$D58,E55:E58,$L55:$L58,M55:M58)</f>
        <v>#VALUE!</v>
      </c>
      <c r="U55" s="22" t="e">
        <f>bdrate($D55:$D58,F55:F58,$L55:$L58,N55:N58)</f>
        <v>#VALUE!</v>
      </c>
      <c r="V55" s="22" t="e">
        <f>bdrate($D55:$D58,G55:G58,$L55:$L58,O55:O58)</f>
        <v>#VALUE!</v>
      </c>
      <c r="W55" s="44" t="e">
        <f>bdrateOld($D55:$D58,E55:E58,$L55:$L58,M55:M58)</f>
        <v>#VALUE!</v>
      </c>
      <c r="X55" s="45" t="e">
        <f>bdrateOld($D55:$D58,F55:F58,$L55:$L58,N55:N58)</f>
        <v>#VALUE!</v>
      </c>
      <c r="Y55" s="46" t="e">
        <f>bdrateOld($D55:$D58,G55:G58,$L55:$L58,O55:O58)</f>
        <v>#VALUE!</v>
      </c>
      <c r="AB55" s="144"/>
      <c r="AC55" s="144"/>
    </row>
    <row r="56" spans="1:29" x14ac:dyDescent="0.2">
      <c r="A56" s="24" t="s">
        <v>22</v>
      </c>
      <c r="B56" s="24"/>
      <c r="C56" s="24">
        <v>27</v>
      </c>
      <c r="D56" s="25"/>
      <c r="E56" s="26"/>
      <c r="F56" s="26"/>
      <c r="G56" s="26"/>
      <c r="H56" s="26"/>
      <c r="I56" s="26"/>
      <c r="J56" s="27">
        <f t="shared" si="0"/>
        <v>0</v>
      </c>
      <c r="L56" s="25"/>
      <c r="M56" s="26"/>
      <c r="N56" s="26"/>
      <c r="O56" s="26"/>
      <c r="P56" s="26"/>
      <c r="Q56" s="26"/>
      <c r="R56" s="27">
        <f t="shared" si="1"/>
        <v>0</v>
      </c>
      <c r="S56" s="20"/>
      <c r="T56" s="31"/>
      <c r="U56" s="32"/>
      <c r="V56" s="32"/>
      <c r="W56" s="31"/>
      <c r="X56" s="32"/>
      <c r="Y56" s="33"/>
      <c r="Z56" s="129"/>
      <c r="AA56" s="130" t="s">
        <v>91</v>
      </c>
      <c r="AB56" s="146" t="s">
        <v>92</v>
      </c>
      <c r="AC56" s="144" t="s">
        <v>90</v>
      </c>
    </row>
    <row r="57" spans="1:29" x14ac:dyDescent="0.2">
      <c r="A57" s="24"/>
      <c r="B57" s="24"/>
      <c r="C57" s="24">
        <v>32</v>
      </c>
      <c r="D57" s="25"/>
      <c r="E57" s="26"/>
      <c r="F57" s="26"/>
      <c r="G57" s="26"/>
      <c r="H57" s="26"/>
      <c r="I57" s="26"/>
      <c r="J57" s="27">
        <f t="shared" si="0"/>
        <v>0</v>
      </c>
      <c r="L57" s="25"/>
      <c r="M57" s="26"/>
      <c r="N57" s="26"/>
      <c r="O57" s="26"/>
      <c r="P57" s="26"/>
      <c r="Q57" s="26"/>
      <c r="R57" s="27">
        <f t="shared" si="1"/>
        <v>0</v>
      </c>
      <c r="S57" s="20"/>
      <c r="T57" s="31"/>
      <c r="U57" s="32"/>
      <c r="V57" s="32"/>
      <c r="W57" s="31"/>
      <c r="X57" s="32"/>
      <c r="Y57" s="33"/>
      <c r="Z57" s="132"/>
      <c r="AA57" s="133"/>
      <c r="AB57" s="147"/>
      <c r="AC57" s="144" t="e">
        <f>AVERAGE(AB3:AB7)</f>
        <v>#DIV/0!</v>
      </c>
    </row>
    <row r="58" spans="1:29" ht="12.75" thickBot="1" x14ac:dyDescent="0.25">
      <c r="A58" s="24"/>
      <c r="B58" s="34"/>
      <c r="C58" s="34">
        <v>37</v>
      </c>
      <c r="D58" s="35"/>
      <c r="E58" s="36"/>
      <c r="F58" s="36"/>
      <c r="G58" s="36"/>
      <c r="H58" s="36"/>
      <c r="I58" s="36"/>
      <c r="J58" s="37">
        <f t="shared" si="0"/>
        <v>0</v>
      </c>
      <c r="L58" s="35"/>
      <c r="M58" s="36"/>
      <c r="N58" s="36"/>
      <c r="O58" s="36"/>
      <c r="P58" s="36"/>
      <c r="Q58" s="36"/>
      <c r="R58" s="37">
        <f t="shared" si="1"/>
        <v>0</v>
      </c>
      <c r="S58" s="20"/>
      <c r="T58" s="41"/>
      <c r="U58" s="42"/>
      <c r="V58" s="42"/>
      <c r="W58" s="41"/>
      <c r="X58" s="42"/>
      <c r="Y58" s="43"/>
      <c r="Z58" s="132" t="s">
        <v>93</v>
      </c>
      <c r="AA58" s="133" t="e">
        <f>AVERAGE(T19,T23,T27,T31,T35)</f>
        <v>#VALUE!</v>
      </c>
      <c r="AB58" s="148" t="e">
        <f>AVERAGE(AA19,AA23,AA27,AA31,AA35)</f>
        <v>#DIV/0!</v>
      </c>
      <c r="AC58" s="144" t="e">
        <f ca="1">AVERAGE(AB19,AB23,AB27,AB31,AB35)</f>
        <v>#NAME?</v>
      </c>
    </row>
    <row r="59" spans="1:29" x14ac:dyDescent="0.2">
      <c r="A59" s="24"/>
      <c r="B59" s="13" t="s">
        <v>23</v>
      </c>
      <c r="C59" s="13">
        <v>22</v>
      </c>
      <c r="D59" s="14"/>
      <c r="E59" s="15"/>
      <c r="F59" s="15"/>
      <c r="G59" s="15"/>
      <c r="H59" s="15"/>
      <c r="I59" s="15"/>
      <c r="J59" s="16">
        <f t="shared" si="0"/>
        <v>0</v>
      </c>
      <c r="L59" s="14"/>
      <c r="M59" s="15"/>
      <c r="N59" s="15"/>
      <c r="O59" s="15"/>
      <c r="P59" s="15"/>
      <c r="Q59" s="15"/>
      <c r="R59" s="16">
        <f t="shared" si="1"/>
        <v>0</v>
      </c>
      <c r="S59" s="20"/>
      <c r="T59" s="21" t="e">
        <f>bdrate($D59:$D62,E59:E62,$L59:$L62,M59:M62)</f>
        <v>#VALUE!</v>
      </c>
      <c r="U59" s="22" t="e">
        <f>bdrate($D59:$D62,F59:F62,$L59:$L62,N59:N62)</f>
        <v>#VALUE!</v>
      </c>
      <c r="V59" s="22" t="e">
        <f>bdrate($D59:$D62,G59:G62,$L59:$L62,O59:O62)</f>
        <v>#VALUE!</v>
      </c>
      <c r="W59" s="44" t="e">
        <f>bdrateOld($D59:$D62,E59:E62,$L59:$L62,M59:M62)</f>
        <v>#VALUE!</v>
      </c>
      <c r="X59" s="45" t="e">
        <f>bdrateOld($D59:$D62,F59:F62,$L59:$L62,N59:N62)</f>
        <v>#VALUE!</v>
      </c>
      <c r="Y59" s="46" t="e">
        <f>bdrateOld($D59:$D62,G59:G62,$L59:$L62,O59:O62)</f>
        <v>#VALUE!</v>
      </c>
      <c r="Z59" s="129" t="s">
        <v>94</v>
      </c>
      <c r="AA59" s="136" t="e">
        <f>AVERAGE(T39,T43,T47,T51)</f>
        <v>#VALUE!</v>
      </c>
      <c r="AB59" s="149" t="e">
        <f>AVERAGE(AA39,AA43,AA47,AA51)</f>
        <v>#DIV/0!</v>
      </c>
      <c r="AC59" s="144" t="e">
        <f ca="1">AVERAGE(AB39,AB43,AB47,AB51)</f>
        <v>#NAME?</v>
      </c>
    </row>
    <row r="60" spans="1:29" x14ac:dyDescent="0.2">
      <c r="A60" s="24"/>
      <c r="B60" s="24"/>
      <c r="C60" s="24">
        <v>27</v>
      </c>
      <c r="D60" s="25"/>
      <c r="E60" s="26"/>
      <c r="F60" s="26"/>
      <c r="G60" s="26"/>
      <c r="H60" s="26"/>
      <c r="I60" s="26"/>
      <c r="J60" s="27">
        <f t="shared" si="0"/>
        <v>0</v>
      </c>
      <c r="L60" s="25"/>
      <c r="M60" s="26"/>
      <c r="N60" s="26"/>
      <c r="O60" s="26"/>
      <c r="P60" s="26"/>
      <c r="Q60" s="26"/>
      <c r="R60" s="27">
        <f t="shared" si="1"/>
        <v>0</v>
      </c>
      <c r="S60" s="20"/>
      <c r="T60" s="31"/>
      <c r="U60" s="32"/>
      <c r="V60" s="32"/>
      <c r="W60" s="31"/>
      <c r="X60" s="32"/>
      <c r="Y60" s="33"/>
      <c r="Z60" s="129" t="s">
        <v>95</v>
      </c>
      <c r="AA60" s="136" t="e">
        <f>AVERAGE(T19,T23,T27,T31,T35,T39,T43,T47,T51)</f>
        <v>#VALUE!</v>
      </c>
      <c r="AB60" s="150" t="e">
        <f>AVERAGE(AA19,AA23,AA27,AA31,AA35,AA39,AA43,AA47,AA51)</f>
        <v>#DIV/0!</v>
      </c>
      <c r="AC60" s="144" t="e">
        <f ca="1">avarage(AB3,AB7,AB19,AB23,AB27,AB31,AB35,AB39,AB43,AB47,AB51)</f>
        <v>#NAME?</v>
      </c>
    </row>
    <row r="61" spans="1:29" x14ac:dyDescent="0.2">
      <c r="A61" s="24"/>
      <c r="B61" s="24"/>
      <c r="C61" s="24">
        <v>32</v>
      </c>
      <c r="D61" s="25"/>
      <c r="E61" s="26"/>
      <c r="F61" s="26"/>
      <c r="G61" s="26"/>
      <c r="H61" s="26"/>
      <c r="I61" s="26"/>
      <c r="J61" s="27">
        <f t="shared" si="0"/>
        <v>0</v>
      </c>
      <c r="L61" s="25"/>
      <c r="M61" s="26"/>
      <c r="N61" s="26"/>
      <c r="O61" s="26"/>
      <c r="P61" s="26"/>
      <c r="Q61" s="26"/>
      <c r="R61" s="27">
        <f t="shared" si="1"/>
        <v>0</v>
      </c>
      <c r="S61" s="20"/>
      <c r="T61" s="31"/>
      <c r="U61" s="32"/>
      <c r="V61" s="32"/>
      <c r="W61" s="31"/>
      <c r="X61" s="32"/>
      <c r="Y61" s="33"/>
      <c r="AA61" s="143" t="e">
        <f>AVERAGE(T19,T23,T27,T43,T51)</f>
        <v>#VALUE!</v>
      </c>
      <c r="AB61" s="145" t="e">
        <f>AVERAGE(AA19,AA23,AA27,AA43,AA51)</f>
        <v>#DIV/0!</v>
      </c>
      <c r="AC61" s="144" t="e">
        <f ca="1">AVERAGE(AB19,AB23,AB27,AB43,AB51)</f>
        <v>#NAME?</v>
      </c>
    </row>
    <row r="62" spans="1:29" ht="12.75" thickBot="1" x14ac:dyDescent="0.25">
      <c r="A62" s="24"/>
      <c r="B62" s="34"/>
      <c r="C62" s="34">
        <v>37</v>
      </c>
      <c r="D62" s="35"/>
      <c r="E62" s="36"/>
      <c r="F62" s="36"/>
      <c r="G62" s="36"/>
      <c r="H62" s="36"/>
      <c r="I62" s="36"/>
      <c r="J62" s="37">
        <f t="shared" si="0"/>
        <v>0</v>
      </c>
      <c r="L62" s="35"/>
      <c r="M62" s="36"/>
      <c r="N62" s="36"/>
      <c r="O62" s="36"/>
      <c r="P62" s="36"/>
      <c r="Q62" s="36"/>
      <c r="R62" s="37">
        <f t="shared" si="1"/>
        <v>0</v>
      </c>
      <c r="S62" s="20"/>
      <c r="T62" s="41"/>
      <c r="U62" s="42"/>
      <c r="V62" s="42"/>
      <c r="W62" s="41"/>
      <c r="X62" s="42"/>
      <c r="Y62" s="43"/>
    </row>
    <row r="63" spans="1:29" x14ac:dyDescent="0.2">
      <c r="A63" s="24"/>
      <c r="B63" s="13" t="s">
        <v>24</v>
      </c>
      <c r="C63" s="13">
        <v>22</v>
      </c>
      <c r="D63" s="14"/>
      <c r="E63" s="15"/>
      <c r="F63" s="15"/>
      <c r="G63" s="15"/>
      <c r="H63" s="15"/>
      <c r="I63" s="15"/>
      <c r="J63" s="16">
        <f t="shared" si="0"/>
        <v>0</v>
      </c>
      <c r="L63" s="14"/>
      <c r="M63" s="15"/>
      <c r="N63" s="15"/>
      <c r="O63" s="15"/>
      <c r="P63" s="15"/>
      <c r="Q63" s="15"/>
      <c r="R63" s="16">
        <f t="shared" si="1"/>
        <v>0</v>
      </c>
      <c r="S63" s="20"/>
      <c r="T63" s="21" t="e">
        <f>bdrate($D63:$D66,E63:E66,$L63:$L66,M63:M66)</f>
        <v>#VALUE!</v>
      </c>
      <c r="U63" s="22" t="e">
        <f>bdrate($D63:$D66,F63:F66,$L63:$L66,N63:N66)</f>
        <v>#VALUE!</v>
      </c>
      <c r="V63" s="22" t="e">
        <f>bdrate($D63:$D66,G63:G66,$L63:$L66,O63:O66)</f>
        <v>#VALUE!</v>
      </c>
      <c r="W63" s="44" t="e">
        <f>bdrateOld($D63:$D66,E63:E66,$L63:$L66,M63:M66)</f>
        <v>#VALUE!</v>
      </c>
      <c r="X63" s="45" t="e">
        <f>bdrateOld($D63:$D66,F63:F66,$L63:$L66,N63:N66)</f>
        <v>#VALUE!</v>
      </c>
      <c r="Y63" s="46" t="e">
        <f>bdrateOld($D63:$D66,G63:G66,$L63:$L66,O63:O66)</f>
        <v>#VALUE!</v>
      </c>
    </row>
    <row r="64" spans="1:29" x14ac:dyDescent="0.2">
      <c r="A64" s="24"/>
      <c r="B64" s="24"/>
      <c r="C64" s="24">
        <v>27</v>
      </c>
      <c r="D64" s="25"/>
      <c r="E64" s="26"/>
      <c r="F64" s="26"/>
      <c r="G64" s="26"/>
      <c r="H64" s="26"/>
      <c r="I64" s="26"/>
      <c r="J64" s="27">
        <f t="shared" si="0"/>
        <v>0</v>
      </c>
      <c r="L64" s="25"/>
      <c r="M64" s="26"/>
      <c r="N64" s="26"/>
      <c r="O64" s="26"/>
      <c r="P64" s="26"/>
      <c r="Q64" s="26"/>
      <c r="R64" s="27">
        <f t="shared" si="1"/>
        <v>0</v>
      </c>
      <c r="S64" s="20"/>
      <c r="T64" s="31"/>
      <c r="U64" s="32"/>
      <c r="V64" s="32"/>
      <c r="W64" s="31"/>
      <c r="X64" s="32"/>
      <c r="Y64" s="33"/>
    </row>
    <row r="65" spans="1:25" x14ac:dyDescent="0.2">
      <c r="A65" s="24"/>
      <c r="B65" s="24"/>
      <c r="C65" s="24">
        <v>32</v>
      </c>
      <c r="D65" s="25"/>
      <c r="E65" s="26"/>
      <c r="F65" s="26"/>
      <c r="G65" s="26"/>
      <c r="H65" s="26"/>
      <c r="I65" s="26"/>
      <c r="J65" s="27">
        <f t="shared" si="0"/>
        <v>0</v>
      </c>
      <c r="L65" s="25"/>
      <c r="M65" s="26"/>
      <c r="N65" s="26"/>
      <c r="O65" s="26"/>
      <c r="P65" s="26"/>
      <c r="Q65" s="26"/>
      <c r="R65" s="27">
        <f t="shared" si="1"/>
        <v>0</v>
      </c>
      <c r="S65" s="20"/>
      <c r="T65" s="31"/>
      <c r="U65" s="32"/>
      <c r="V65" s="32"/>
      <c r="W65" s="31"/>
      <c r="X65" s="32"/>
      <c r="Y65" s="33"/>
    </row>
    <row r="66" spans="1:25" ht="12.75" thickBot="1" x14ac:dyDescent="0.25">
      <c r="A66" s="24"/>
      <c r="B66" s="34"/>
      <c r="C66" s="34">
        <v>37</v>
      </c>
      <c r="D66" s="35"/>
      <c r="E66" s="36"/>
      <c r="F66" s="36"/>
      <c r="G66" s="36"/>
      <c r="H66" s="36"/>
      <c r="I66" s="36"/>
      <c r="J66" s="37">
        <f t="shared" si="0"/>
        <v>0</v>
      </c>
      <c r="L66" s="35"/>
      <c r="M66" s="36"/>
      <c r="N66" s="36"/>
      <c r="O66" s="36"/>
      <c r="P66" s="36"/>
      <c r="Q66" s="36"/>
      <c r="R66" s="37">
        <f t="shared" si="1"/>
        <v>0</v>
      </c>
      <c r="S66" s="20"/>
      <c r="T66" s="41"/>
      <c r="U66" s="42"/>
      <c r="V66" s="42"/>
      <c r="W66" s="41"/>
      <c r="X66" s="42"/>
      <c r="Y66" s="43"/>
    </row>
    <row r="67" spans="1:25" x14ac:dyDescent="0.2">
      <c r="A67" s="24"/>
      <c r="B67" s="13" t="s">
        <v>19</v>
      </c>
      <c r="C67" s="13">
        <v>22</v>
      </c>
      <c r="D67" s="14"/>
      <c r="E67" s="15"/>
      <c r="F67" s="15"/>
      <c r="G67" s="15"/>
      <c r="H67" s="15"/>
      <c r="I67" s="15"/>
      <c r="J67" s="16">
        <f t="shared" si="0"/>
        <v>0</v>
      </c>
      <c r="L67" s="14"/>
      <c r="M67" s="15"/>
      <c r="N67" s="15"/>
      <c r="O67" s="15"/>
      <c r="P67" s="15"/>
      <c r="Q67" s="15"/>
      <c r="R67" s="16">
        <f t="shared" si="1"/>
        <v>0</v>
      </c>
      <c r="S67" s="20"/>
      <c r="T67" s="21" t="e">
        <f>bdrate($D67:$D70,E67:E70,$L67:$L70,M67:M70)</f>
        <v>#VALUE!</v>
      </c>
      <c r="U67" s="22" t="e">
        <f>bdrate($D67:$D70,F67:F70,$L67:$L70,N67:N70)</f>
        <v>#VALUE!</v>
      </c>
      <c r="V67" s="22" t="e">
        <f>bdrate($D67:$D70,G67:G70,$L67:$L70,O67:O70)</f>
        <v>#VALUE!</v>
      </c>
      <c r="W67" s="44" t="e">
        <f>bdrateOld($D67:$D70,E67:E70,$L67:$L70,M67:M70)</f>
        <v>#VALUE!</v>
      </c>
      <c r="X67" s="45" t="e">
        <f>bdrateOld($D67:$D70,F67:F70,$L67:$L70,N67:N70)</f>
        <v>#VALUE!</v>
      </c>
      <c r="Y67" s="46" t="e">
        <f>bdrateOld($D67:$D70,G67:G70,$L67:$L70,O67:O70)</f>
        <v>#VALUE!</v>
      </c>
    </row>
    <row r="68" spans="1:25" x14ac:dyDescent="0.2">
      <c r="A68" s="24"/>
      <c r="B68" s="24"/>
      <c r="C68" s="24">
        <v>27</v>
      </c>
      <c r="D68" s="25"/>
      <c r="E68" s="26"/>
      <c r="F68" s="26"/>
      <c r="G68" s="26"/>
      <c r="H68" s="26"/>
      <c r="I68" s="26"/>
      <c r="J68" s="27">
        <f t="shared" ref="J68:J98" si="3">H68/3600</f>
        <v>0</v>
      </c>
      <c r="L68" s="25"/>
      <c r="M68" s="26"/>
      <c r="N68" s="26"/>
      <c r="O68" s="26"/>
      <c r="P68" s="26"/>
      <c r="Q68" s="26"/>
      <c r="R68" s="27">
        <f t="shared" ref="R68:R98" si="4">P68/3600</f>
        <v>0</v>
      </c>
      <c r="S68" s="20"/>
      <c r="T68" s="31"/>
      <c r="U68" s="32"/>
      <c r="V68" s="32"/>
      <c r="W68" s="31"/>
      <c r="X68" s="32"/>
      <c r="Y68" s="33"/>
    </row>
    <row r="69" spans="1:25" x14ac:dyDescent="0.2">
      <c r="A69" s="24"/>
      <c r="B69" s="24"/>
      <c r="C69" s="24">
        <v>32</v>
      </c>
      <c r="D69" s="25"/>
      <c r="E69" s="26"/>
      <c r="F69" s="26"/>
      <c r="G69" s="26"/>
      <c r="H69" s="26"/>
      <c r="I69" s="26"/>
      <c r="J69" s="27">
        <f t="shared" si="3"/>
        <v>0</v>
      </c>
      <c r="L69" s="25"/>
      <c r="M69" s="26"/>
      <c r="N69" s="26"/>
      <c r="O69" s="26"/>
      <c r="P69" s="26"/>
      <c r="Q69" s="26"/>
      <c r="R69" s="27">
        <f t="shared" si="4"/>
        <v>0</v>
      </c>
      <c r="S69" s="20"/>
      <c r="T69" s="31"/>
      <c r="U69" s="32"/>
      <c r="V69" s="32"/>
      <c r="W69" s="31"/>
      <c r="X69" s="32"/>
      <c r="Y69" s="33"/>
    </row>
    <row r="70" spans="1:25" ht="12.75" thickBot="1" x14ac:dyDescent="0.25">
      <c r="A70" s="34"/>
      <c r="B70" s="34"/>
      <c r="C70" s="34">
        <v>37</v>
      </c>
      <c r="D70" s="35"/>
      <c r="E70" s="36"/>
      <c r="F70" s="36"/>
      <c r="G70" s="36"/>
      <c r="H70" s="36"/>
      <c r="I70" s="36"/>
      <c r="J70" s="37">
        <f t="shared" si="3"/>
        <v>0</v>
      </c>
      <c r="L70" s="35"/>
      <c r="M70" s="36"/>
      <c r="N70" s="36"/>
      <c r="O70" s="36"/>
      <c r="P70" s="36"/>
      <c r="Q70" s="36"/>
      <c r="R70" s="37">
        <f t="shared" si="4"/>
        <v>0</v>
      </c>
      <c r="S70" s="20"/>
      <c r="T70" s="41"/>
      <c r="U70" s="42"/>
      <c r="V70" s="42"/>
      <c r="W70" s="41"/>
      <c r="X70" s="42"/>
      <c r="Y70" s="43"/>
    </row>
    <row r="71" spans="1:25" x14ac:dyDescent="0.2">
      <c r="A71" s="13" t="s">
        <v>25</v>
      </c>
      <c r="B71" s="13" t="s">
        <v>86</v>
      </c>
      <c r="C71" s="13">
        <v>22</v>
      </c>
      <c r="D71" s="14"/>
      <c r="E71" s="15"/>
      <c r="F71" s="15"/>
      <c r="G71" s="15"/>
      <c r="H71" s="15"/>
      <c r="I71" s="15"/>
      <c r="J71" s="16">
        <f t="shared" si="3"/>
        <v>0</v>
      </c>
      <c r="L71" s="14"/>
      <c r="M71" s="15"/>
      <c r="N71" s="15"/>
      <c r="O71" s="15"/>
      <c r="P71" s="15"/>
      <c r="Q71" s="15"/>
      <c r="R71" s="16">
        <f t="shared" si="4"/>
        <v>0</v>
      </c>
      <c r="S71" s="20"/>
      <c r="T71" s="21" t="e">
        <f>bdrate($D71:$D74,E71:E74,$L71:$L74,M71:M74)</f>
        <v>#VALUE!</v>
      </c>
      <c r="U71" s="22" t="e">
        <f>bdrate($D71:$D74,F71:F74,$L71:$L74,N71:N74)</f>
        <v>#VALUE!</v>
      </c>
      <c r="V71" s="22" t="e">
        <f>bdrate($D71:$D74,G71:G74,$L71:$L74,O71:O74)</f>
        <v>#VALUE!</v>
      </c>
      <c r="W71" s="44" t="e">
        <f>bdrateOld($D71:$D74,E71:E74,$L71:$L74,M71:M74)</f>
        <v>#VALUE!</v>
      </c>
      <c r="X71" s="45" t="e">
        <f>bdrateOld($D71:$D74,F71:F74,$L71:$L74,N71:N74)</f>
        <v>#VALUE!</v>
      </c>
      <c r="Y71" s="46" t="e">
        <f>bdrateOld($D71:$D74,G71:G74,$L71:$L74,O71:O74)</f>
        <v>#VALUE!</v>
      </c>
    </row>
    <row r="72" spans="1:25" x14ac:dyDescent="0.2">
      <c r="A72" s="24" t="s">
        <v>26</v>
      </c>
      <c r="B72" s="24"/>
      <c r="C72" s="24">
        <v>27</v>
      </c>
      <c r="D72" s="25"/>
      <c r="E72" s="26"/>
      <c r="F72" s="26"/>
      <c r="G72" s="26"/>
      <c r="H72" s="26"/>
      <c r="I72" s="26"/>
      <c r="J72" s="27">
        <f t="shared" si="3"/>
        <v>0</v>
      </c>
      <c r="L72" s="25"/>
      <c r="M72" s="26"/>
      <c r="N72" s="26"/>
      <c r="O72" s="26"/>
      <c r="P72" s="26"/>
      <c r="Q72" s="26"/>
      <c r="R72" s="27">
        <f t="shared" si="4"/>
        <v>0</v>
      </c>
      <c r="S72" s="20"/>
      <c r="T72" s="31"/>
      <c r="U72" s="32"/>
      <c r="V72" s="32"/>
      <c r="W72" s="31"/>
      <c r="X72" s="32"/>
      <c r="Y72" s="33"/>
    </row>
    <row r="73" spans="1:25" x14ac:dyDescent="0.2">
      <c r="A73" s="24"/>
      <c r="B73" s="24"/>
      <c r="C73" s="24">
        <v>32</v>
      </c>
      <c r="D73" s="25"/>
      <c r="E73" s="26"/>
      <c r="F73" s="26"/>
      <c r="G73" s="26"/>
      <c r="H73" s="26"/>
      <c r="I73" s="26"/>
      <c r="J73" s="27">
        <f t="shared" si="3"/>
        <v>0</v>
      </c>
      <c r="L73" s="25"/>
      <c r="M73" s="26"/>
      <c r="N73" s="26"/>
      <c r="O73" s="26"/>
      <c r="P73" s="26"/>
      <c r="Q73" s="26"/>
      <c r="R73" s="27">
        <f t="shared" si="4"/>
        <v>0</v>
      </c>
      <c r="S73" s="20"/>
      <c r="T73" s="31"/>
      <c r="U73" s="32"/>
      <c r="V73" s="32"/>
      <c r="W73" s="31"/>
      <c r="X73" s="32"/>
      <c r="Y73" s="33"/>
    </row>
    <row r="74" spans="1:25" ht="12.75" thickBot="1" x14ac:dyDescent="0.25">
      <c r="A74" s="24"/>
      <c r="B74" s="34"/>
      <c r="C74" s="34">
        <v>37</v>
      </c>
      <c r="D74" s="35"/>
      <c r="E74" s="36"/>
      <c r="F74" s="36"/>
      <c r="G74" s="36"/>
      <c r="H74" s="36"/>
      <c r="I74" s="36"/>
      <c r="J74" s="37">
        <f t="shared" si="3"/>
        <v>0</v>
      </c>
      <c r="L74" s="35"/>
      <c r="M74" s="36"/>
      <c r="N74" s="36"/>
      <c r="O74" s="36"/>
      <c r="P74" s="36"/>
      <c r="Q74" s="36"/>
      <c r="R74" s="37">
        <f t="shared" si="4"/>
        <v>0</v>
      </c>
      <c r="S74" s="20"/>
      <c r="T74" s="41"/>
      <c r="U74" s="42"/>
      <c r="V74" s="42"/>
      <c r="W74" s="41"/>
      <c r="X74" s="42"/>
      <c r="Y74" s="43"/>
    </row>
    <row r="75" spans="1:25" x14ac:dyDescent="0.2">
      <c r="A75" s="24"/>
      <c r="B75" s="13" t="s">
        <v>87</v>
      </c>
      <c r="C75" s="13">
        <v>22</v>
      </c>
      <c r="D75" s="14"/>
      <c r="E75" s="15"/>
      <c r="F75" s="15"/>
      <c r="G75" s="15"/>
      <c r="H75" s="15"/>
      <c r="I75" s="15"/>
      <c r="J75" s="16">
        <f t="shared" si="3"/>
        <v>0</v>
      </c>
      <c r="L75" s="14"/>
      <c r="M75" s="15"/>
      <c r="N75" s="15"/>
      <c r="O75" s="15"/>
      <c r="P75" s="15"/>
      <c r="Q75" s="15"/>
      <c r="R75" s="16">
        <f t="shared" si="4"/>
        <v>0</v>
      </c>
      <c r="S75" s="20"/>
      <c r="T75" s="21" t="e">
        <f>bdrate($D75:$D78,E75:E78,$L75:$L78,M75:M78)</f>
        <v>#VALUE!</v>
      </c>
      <c r="U75" s="22" t="e">
        <f>bdrate($D75:$D78,F75:F78,$L75:$L78,N75:N78)</f>
        <v>#VALUE!</v>
      </c>
      <c r="V75" s="22" t="e">
        <f>bdrate($D75:$D78,G75:G78,$L75:$L78,O75:O78)</f>
        <v>#VALUE!</v>
      </c>
      <c r="W75" s="44" t="e">
        <f>bdrateOld($D75:$D78,E75:E78,$L75:$L78,M75:M78)</f>
        <v>#VALUE!</v>
      </c>
      <c r="X75" s="45" t="e">
        <f>bdrateOld($D75:$D78,F75:F78,$L75:$L78,N75:N78)</f>
        <v>#VALUE!</v>
      </c>
      <c r="Y75" s="46" t="e">
        <f>bdrateOld($D75:$D78,G75:G78,$L75:$L78,O75:O78)</f>
        <v>#VALUE!</v>
      </c>
    </row>
    <row r="76" spans="1:25" x14ac:dyDescent="0.2">
      <c r="A76" s="24"/>
      <c r="B76" s="24"/>
      <c r="C76" s="24">
        <v>27</v>
      </c>
      <c r="D76" s="25"/>
      <c r="E76" s="26"/>
      <c r="F76" s="26"/>
      <c r="G76" s="26"/>
      <c r="H76" s="26"/>
      <c r="I76" s="26"/>
      <c r="J76" s="27">
        <f t="shared" si="3"/>
        <v>0</v>
      </c>
      <c r="L76" s="25"/>
      <c r="M76" s="26"/>
      <c r="N76" s="26"/>
      <c r="O76" s="26"/>
      <c r="P76" s="26"/>
      <c r="Q76" s="26"/>
      <c r="R76" s="27">
        <f t="shared" si="4"/>
        <v>0</v>
      </c>
      <c r="S76" s="20"/>
      <c r="T76" s="31"/>
      <c r="U76" s="32"/>
      <c r="V76" s="32"/>
      <c r="W76" s="31"/>
      <c r="X76" s="32"/>
      <c r="Y76" s="33"/>
    </row>
    <row r="77" spans="1:25" x14ac:dyDescent="0.2">
      <c r="A77" s="24"/>
      <c r="B77" s="24"/>
      <c r="C77" s="24">
        <v>32</v>
      </c>
      <c r="D77" s="25"/>
      <c r="E77" s="26"/>
      <c r="F77" s="26"/>
      <c r="G77" s="26"/>
      <c r="H77" s="26"/>
      <c r="I77" s="26"/>
      <c r="J77" s="27">
        <f t="shared" si="3"/>
        <v>0</v>
      </c>
      <c r="L77" s="25"/>
      <c r="M77" s="26"/>
      <c r="N77" s="26"/>
      <c r="O77" s="26"/>
      <c r="P77" s="26"/>
      <c r="Q77" s="26"/>
      <c r="R77" s="27">
        <f t="shared" si="4"/>
        <v>0</v>
      </c>
      <c r="S77" s="20"/>
      <c r="T77" s="31"/>
      <c r="U77" s="32"/>
      <c r="V77" s="32"/>
      <c r="W77" s="31"/>
      <c r="X77" s="32"/>
      <c r="Y77" s="33"/>
    </row>
    <row r="78" spans="1:25" ht="12.75" thickBot="1" x14ac:dyDescent="0.25">
      <c r="A78" s="24"/>
      <c r="B78" s="34"/>
      <c r="C78" s="34">
        <v>37</v>
      </c>
      <c r="D78" s="35"/>
      <c r="E78" s="36"/>
      <c r="F78" s="36"/>
      <c r="G78" s="36"/>
      <c r="H78" s="36"/>
      <c r="I78" s="36"/>
      <c r="J78" s="37">
        <f t="shared" si="3"/>
        <v>0</v>
      </c>
      <c r="L78" s="35"/>
      <c r="M78" s="36"/>
      <c r="N78" s="36"/>
      <c r="O78" s="36"/>
      <c r="P78" s="36"/>
      <c r="Q78" s="36"/>
      <c r="R78" s="37">
        <f t="shared" si="4"/>
        <v>0</v>
      </c>
      <c r="S78" s="20"/>
      <c r="T78" s="41"/>
      <c r="U78" s="42"/>
      <c r="V78" s="42"/>
      <c r="W78" s="41"/>
      <c r="X78" s="42"/>
      <c r="Y78" s="43"/>
    </row>
    <row r="79" spans="1:25" x14ac:dyDescent="0.2">
      <c r="A79" s="24"/>
      <c r="B79" s="13" t="s">
        <v>88</v>
      </c>
      <c r="C79" s="13">
        <v>22</v>
      </c>
      <c r="D79" s="14"/>
      <c r="E79" s="15"/>
      <c r="F79" s="15"/>
      <c r="G79" s="15"/>
      <c r="H79" s="15"/>
      <c r="I79" s="15"/>
      <c r="J79" s="16">
        <f t="shared" si="3"/>
        <v>0</v>
      </c>
      <c r="L79" s="14"/>
      <c r="M79" s="15"/>
      <c r="N79" s="15"/>
      <c r="O79" s="15"/>
      <c r="P79" s="15"/>
      <c r="Q79" s="15"/>
      <c r="R79" s="16">
        <f t="shared" si="4"/>
        <v>0</v>
      </c>
      <c r="S79" s="20"/>
      <c r="T79" s="21" t="e">
        <f>bdrate($D79:$D82,E79:E82,$L79:$L82,M79:M82)</f>
        <v>#VALUE!</v>
      </c>
      <c r="U79" s="22" t="e">
        <f>bdrate($D79:$D82,F79:F82,$L79:$L82,N79:N82)</f>
        <v>#VALUE!</v>
      </c>
      <c r="V79" s="22" t="e">
        <f>bdrate($D79:$D82,G79:G82,$L79:$L82,O79:O82)</f>
        <v>#VALUE!</v>
      </c>
      <c r="W79" s="44" t="e">
        <f>bdrateOld($D79:$D82,E79:E82,$L79:$L82,M79:M82)</f>
        <v>#VALUE!</v>
      </c>
      <c r="X79" s="45" t="e">
        <f>bdrateOld($D79:$D82,F79:F82,$L79:$L82,N79:N82)</f>
        <v>#VALUE!</v>
      </c>
      <c r="Y79" s="46" t="e">
        <f>bdrateOld($D79:$D82,G79:G82,$L79:$L82,O79:O82)</f>
        <v>#VALUE!</v>
      </c>
    </row>
    <row r="80" spans="1:25" x14ac:dyDescent="0.2">
      <c r="A80" s="24"/>
      <c r="B80" s="24"/>
      <c r="C80" s="24">
        <v>27</v>
      </c>
      <c r="D80" s="25"/>
      <c r="E80" s="26"/>
      <c r="F80" s="26"/>
      <c r="G80" s="26"/>
      <c r="H80" s="26"/>
      <c r="I80" s="26"/>
      <c r="J80" s="27">
        <f t="shared" si="3"/>
        <v>0</v>
      </c>
      <c r="L80" s="25"/>
      <c r="M80" s="26"/>
      <c r="N80" s="26"/>
      <c r="O80" s="26"/>
      <c r="P80" s="26"/>
      <c r="Q80" s="26"/>
      <c r="R80" s="27">
        <f t="shared" si="4"/>
        <v>0</v>
      </c>
      <c r="S80" s="20"/>
      <c r="T80" s="31"/>
      <c r="U80" s="32"/>
      <c r="V80" s="32"/>
      <c r="W80" s="31"/>
      <c r="X80" s="32"/>
      <c r="Y80" s="33"/>
    </row>
    <row r="81" spans="1:25" x14ac:dyDescent="0.2">
      <c r="A81" s="24"/>
      <c r="B81" s="24"/>
      <c r="C81" s="24">
        <v>32</v>
      </c>
      <c r="D81" s="25"/>
      <c r="E81" s="26"/>
      <c r="F81" s="26"/>
      <c r="G81" s="26"/>
      <c r="H81" s="26"/>
      <c r="I81" s="26"/>
      <c r="J81" s="27">
        <f t="shared" si="3"/>
        <v>0</v>
      </c>
      <c r="L81" s="25"/>
      <c r="M81" s="26"/>
      <c r="N81" s="26"/>
      <c r="O81" s="26"/>
      <c r="P81" s="26"/>
      <c r="Q81" s="26"/>
      <c r="R81" s="27">
        <f t="shared" si="4"/>
        <v>0</v>
      </c>
      <c r="S81" s="20"/>
      <c r="T81" s="31"/>
      <c r="U81" s="32"/>
      <c r="V81" s="32"/>
      <c r="W81" s="31"/>
      <c r="X81" s="32"/>
      <c r="Y81" s="33"/>
    </row>
    <row r="82" spans="1:25" ht="12.75" thickBot="1" x14ac:dyDescent="0.25">
      <c r="A82" s="34"/>
      <c r="B82" s="34"/>
      <c r="C82" s="34">
        <v>37</v>
      </c>
      <c r="D82" s="35"/>
      <c r="E82" s="36"/>
      <c r="F82" s="36"/>
      <c r="G82" s="36"/>
      <c r="H82" s="36"/>
      <c r="I82" s="36"/>
      <c r="J82" s="37">
        <f t="shared" si="3"/>
        <v>0</v>
      </c>
      <c r="L82" s="35"/>
      <c r="M82" s="36"/>
      <c r="N82" s="36"/>
      <c r="O82" s="36"/>
      <c r="P82" s="36"/>
      <c r="Q82" s="36"/>
      <c r="R82" s="37">
        <f t="shared" si="4"/>
        <v>0</v>
      </c>
      <c r="S82" s="20"/>
      <c r="T82" s="41"/>
      <c r="U82" s="42"/>
      <c r="V82" s="42"/>
      <c r="W82" s="41"/>
      <c r="X82" s="42"/>
      <c r="Y82" s="43"/>
    </row>
    <row r="83" spans="1:25" x14ac:dyDescent="0.2">
      <c r="A83" s="117" t="s">
        <v>61</v>
      </c>
      <c r="B83" s="117" t="s">
        <v>62</v>
      </c>
      <c r="C83" s="117">
        <v>22</v>
      </c>
      <c r="D83" s="14"/>
      <c r="E83" s="15"/>
      <c r="F83" s="15"/>
      <c r="G83" s="15"/>
      <c r="H83" s="15"/>
      <c r="I83" s="15"/>
      <c r="J83" s="16">
        <f t="shared" si="3"/>
        <v>0</v>
      </c>
      <c r="L83" s="14"/>
      <c r="M83" s="15"/>
      <c r="N83" s="15"/>
      <c r="O83" s="15"/>
      <c r="P83" s="15"/>
      <c r="Q83" s="15"/>
      <c r="R83" s="16">
        <f t="shared" si="4"/>
        <v>0</v>
      </c>
      <c r="S83" s="20"/>
      <c r="T83" s="21" t="e">
        <f>bdrate($D83:$D86,E83:E86,$L83:$L86,M83:M86)</f>
        <v>#VALUE!</v>
      </c>
      <c r="U83" s="22" t="e">
        <f>bdrate($D83:$D86,F83:F86,$L83:$L86,N83:N86)</f>
        <v>#VALUE!</v>
      </c>
      <c r="V83" s="22" t="e">
        <f>bdrate($D83:$D86,G83:G86,$L83:$L86,O83:O86)</f>
        <v>#VALUE!</v>
      </c>
      <c r="W83" s="44" t="e">
        <f>bdrateOld($D83:$D86,E83:E86,$L83:$L86,M83:M86)</f>
        <v>#VALUE!</v>
      </c>
      <c r="X83" s="45" t="e">
        <f>bdrateOld($D83:$D86,F83:F86,$L83:$L86,N83:N86)</f>
        <v>#VALUE!</v>
      </c>
      <c r="Y83" s="46" t="e">
        <f>bdrateOld($D83:$D86,G83:G86,$L83:$L86,O83:O86)</f>
        <v>#VALUE!</v>
      </c>
    </row>
    <row r="84" spans="1:25" x14ac:dyDescent="0.2">
      <c r="A84" s="118"/>
      <c r="B84" s="118"/>
      <c r="C84" s="118">
        <v>27</v>
      </c>
      <c r="D84" s="25"/>
      <c r="E84" s="26"/>
      <c r="F84" s="26"/>
      <c r="G84" s="26"/>
      <c r="H84" s="26"/>
      <c r="I84" s="26"/>
      <c r="J84" s="27">
        <f t="shared" si="3"/>
        <v>0</v>
      </c>
      <c r="L84" s="25"/>
      <c r="M84" s="26"/>
      <c r="N84" s="26"/>
      <c r="O84" s="26"/>
      <c r="P84" s="26"/>
      <c r="Q84" s="26"/>
      <c r="R84" s="27">
        <f t="shared" si="4"/>
        <v>0</v>
      </c>
      <c r="S84" s="20"/>
      <c r="T84" s="31"/>
      <c r="U84" s="32"/>
      <c r="V84" s="32"/>
      <c r="W84" s="31"/>
      <c r="X84" s="32"/>
      <c r="Y84" s="33"/>
    </row>
    <row r="85" spans="1:25" x14ac:dyDescent="0.2">
      <c r="A85" s="118"/>
      <c r="B85" s="118"/>
      <c r="C85" s="118">
        <v>32</v>
      </c>
      <c r="D85" s="25"/>
      <c r="E85" s="26"/>
      <c r="F85" s="26"/>
      <c r="G85" s="26"/>
      <c r="H85" s="26"/>
      <c r="I85" s="26"/>
      <c r="J85" s="27">
        <f t="shared" si="3"/>
        <v>0</v>
      </c>
      <c r="L85" s="25"/>
      <c r="M85" s="26"/>
      <c r="N85" s="26"/>
      <c r="O85" s="26"/>
      <c r="P85" s="26"/>
      <c r="Q85" s="26"/>
      <c r="R85" s="27">
        <f t="shared" si="4"/>
        <v>0</v>
      </c>
      <c r="S85" s="20"/>
      <c r="T85" s="31"/>
      <c r="U85" s="32"/>
      <c r="V85" s="32"/>
      <c r="W85" s="31"/>
      <c r="X85" s="32"/>
      <c r="Y85" s="33"/>
    </row>
    <row r="86" spans="1:25" ht="12.75" thickBot="1" x14ac:dyDescent="0.25">
      <c r="A86" s="118"/>
      <c r="B86" s="119"/>
      <c r="C86" s="119">
        <v>37</v>
      </c>
      <c r="D86" s="35"/>
      <c r="E86" s="36"/>
      <c r="F86" s="36"/>
      <c r="G86" s="36"/>
      <c r="H86" s="36"/>
      <c r="I86" s="36"/>
      <c r="J86" s="37">
        <f t="shared" si="3"/>
        <v>0</v>
      </c>
      <c r="L86" s="35"/>
      <c r="M86" s="36"/>
      <c r="N86" s="36"/>
      <c r="O86" s="36"/>
      <c r="P86" s="36"/>
      <c r="Q86" s="36"/>
      <c r="R86" s="37">
        <f t="shared" si="4"/>
        <v>0</v>
      </c>
      <c r="S86" s="20"/>
      <c r="T86" s="41"/>
      <c r="U86" s="42"/>
      <c r="V86" s="42"/>
      <c r="W86" s="41"/>
      <c r="X86" s="42"/>
      <c r="Y86" s="43"/>
    </row>
    <row r="87" spans="1:25" x14ac:dyDescent="0.2">
      <c r="A87" s="118"/>
      <c r="B87" s="117" t="s">
        <v>63</v>
      </c>
      <c r="C87" s="117">
        <v>22</v>
      </c>
      <c r="D87" s="14"/>
      <c r="E87" s="15"/>
      <c r="F87" s="15"/>
      <c r="G87" s="15"/>
      <c r="H87" s="15"/>
      <c r="I87" s="15"/>
      <c r="J87" s="16">
        <f t="shared" si="3"/>
        <v>0</v>
      </c>
      <c r="L87" s="14"/>
      <c r="M87" s="15"/>
      <c r="N87" s="15"/>
      <c r="O87" s="15"/>
      <c r="P87" s="15"/>
      <c r="Q87" s="15"/>
      <c r="R87" s="16">
        <f t="shared" si="4"/>
        <v>0</v>
      </c>
      <c r="S87" s="20"/>
      <c r="T87" s="21" t="e">
        <f>bdrate($D87:$D90,E87:E90,$L87:$L90,M87:M90)</f>
        <v>#VALUE!</v>
      </c>
      <c r="U87" s="22" t="e">
        <f>bdrate($D87:$D90,F87:F90,$L87:$L90,N87:N90)</f>
        <v>#VALUE!</v>
      </c>
      <c r="V87" s="22" t="e">
        <f>bdrate($D87:$D90,G87:G90,$L87:$L90,O87:O90)</f>
        <v>#VALUE!</v>
      </c>
      <c r="W87" s="44" t="e">
        <f>bdrateOld($D87:$D90,E87:E90,$L87:$L90,M87:M90)</f>
        <v>#VALUE!</v>
      </c>
      <c r="X87" s="45" t="e">
        <f>bdrateOld($D87:$D90,F87:F90,$L87:$L90,N87:N90)</f>
        <v>#VALUE!</v>
      </c>
      <c r="Y87" s="46" t="e">
        <f>bdrateOld($D87:$D90,G87:G90,$L87:$L90,O87:O90)</f>
        <v>#VALUE!</v>
      </c>
    </row>
    <row r="88" spans="1:25" x14ac:dyDescent="0.2">
      <c r="A88" s="118"/>
      <c r="B88" s="118"/>
      <c r="C88" s="118">
        <v>27</v>
      </c>
      <c r="D88" s="25"/>
      <c r="E88" s="26"/>
      <c r="F88" s="26"/>
      <c r="G88" s="26"/>
      <c r="H88" s="26"/>
      <c r="I88" s="26"/>
      <c r="J88" s="27">
        <f t="shared" si="3"/>
        <v>0</v>
      </c>
      <c r="L88" s="25"/>
      <c r="M88" s="26"/>
      <c r="N88" s="26"/>
      <c r="O88" s="26"/>
      <c r="P88" s="26"/>
      <c r="Q88" s="26"/>
      <c r="R88" s="27">
        <f t="shared" si="4"/>
        <v>0</v>
      </c>
      <c r="S88" s="20"/>
      <c r="T88" s="31"/>
      <c r="U88" s="32"/>
      <c r="V88" s="32"/>
      <c r="W88" s="31"/>
      <c r="X88" s="32"/>
      <c r="Y88" s="33"/>
    </row>
    <row r="89" spans="1:25" x14ac:dyDescent="0.2">
      <c r="A89" s="118"/>
      <c r="B89" s="118"/>
      <c r="C89" s="118">
        <v>32</v>
      </c>
      <c r="D89" s="25"/>
      <c r="E89" s="26"/>
      <c r="F89" s="26"/>
      <c r="G89" s="26"/>
      <c r="H89" s="26"/>
      <c r="I89" s="26"/>
      <c r="J89" s="27">
        <f t="shared" si="3"/>
        <v>0</v>
      </c>
      <c r="L89" s="25"/>
      <c r="M89" s="26"/>
      <c r="N89" s="26"/>
      <c r="O89" s="26"/>
      <c r="P89" s="26"/>
      <c r="Q89" s="26"/>
      <c r="R89" s="27">
        <f t="shared" si="4"/>
        <v>0</v>
      </c>
      <c r="S89" s="20"/>
      <c r="T89" s="31"/>
      <c r="U89" s="32"/>
      <c r="V89" s="32"/>
      <c r="W89" s="31"/>
      <c r="X89" s="32"/>
      <c r="Y89" s="33"/>
    </row>
    <row r="90" spans="1:25" ht="12.75" thickBot="1" x14ac:dyDescent="0.25">
      <c r="A90" s="118"/>
      <c r="B90" s="119"/>
      <c r="C90" s="119">
        <v>37</v>
      </c>
      <c r="D90" s="35"/>
      <c r="E90" s="36"/>
      <c r="F90" s="36"/>
      <c r="G90" s="36"/>
      <c r="H90" s="36"/>
      <c r="I90" s="36"/>
      <c r="J90" s="37">
        <f t="shared" si="3"/>
        <v>0</v>
      </c>
      <c r="L90" s="35"/>
      <c r="M90" s="36"/>
      <c r="N90" s="36"/>
      <c r="O90" s="36"/>
      <c r="P90" s="36"/>
      <c r="Q90" s="36"/>
      <c r="R90" s="37">
        <f t="shared" si="4"/>
        <v>0</v>
      </c>
      <c r="S90" s="20"/>
      <c r="T90" s="41"/>
      <c r="U90" s="42"/>
      <c r="V90" s="42"/>
      <c r="W90" s="41"/>
      <c r="X90" s="42"/>
      <c r="Y90" s="43"/>
    </row>
    <row r="91" spans="1:25" x14ac:dyDescent="0.2">
      <c r="A91" s="118"/>
      <c r="B91" s="117" t="s">
        <v>64</v>
      </c>
      <c r="C91" s="117">
        <v>22</v>
      </c>
      <c r="D91" s="14"/>
      <c r="E91" s="15"/>
      <c r="F91" s="15"/>
      <c r="G91" s="15"/>
      <c r="H91" s="15"/>
      <c r="I91" s="15"/>
      <c r="J91" s="16">
        <f t="shared" si="3"/>
        <v>0</v>
      </c>
      <c r="L91" s="14"/>
      <c r="M91" s="15"/>
      <c r="N91" s="15"/>
      <c r="O91" s="15"/>
      <c r="P91" s="15"/>
      <c r="Q91" s="15"/>
      <c r="R91" s="16">
        <f t="shared" si="4"/>
        <v>0</v>
      </c>
      <c r="S91" s="20"/>
      <c r="T91" s="21" t="e">
        <f>bdrate($D91:$D94,E91:E94,$L91:$L94,M91:M94)</f>
        <v>#VALUE!</v>
      </c>
      <c r="U91" s="22" t="e">
        <f>bdrate($D91:$D94,F91:F94,$L91:$L94,N91:N94)</f>
        <v>#VALUE!</v>
      </c>
      <c r="V91" s="22" t="e">
        <f>bdrate($D91:$D94,G91:G94,$L91:$L94,O91:O94)</f>
        <v>#VALUE!</v>
      </c>
      <c r="W91" s="44" t="e">
        <f>bdrateOld($D91:$D94,E91:E94,$L91:$L94,M91:M94)</f>
        <v>#VALUE!</v>
      </c>
      <c r="X91" s="45" t="e">
        <f>bdrateOld($D91:$D94,F91:F94,$L91:$L94,N91:N94)</f>
        <v>#VALUE!</v>
      </c>
      <c r="Y91" s="46" t="e">
        <f>bdrateOld($D91:$D94,G91:G94,$L91:$L94,O91:O94)</f>
        <v>#VALUE!</v>
      </c>
    </row>
    <row r="92" spans="1:25" x14ac:dyDescent="0.2">
      <c r="A92" s="118"/>
      <c r="B92" s="118"/>
      <c r="C92" s="118">
        <v>27</v>
      </c>
      <c r="D92" s="25"/>
      <c r="E92" s="26"/>
      <c r="F92" s="26"/>
      <c r="G92" s="26"/>
      <c r="H92" s="26"/>
      <c r="I92" s="26"/>
      <c r="J92" s="27">
        <f t="shared" si="3"/>
        <v>0</v>
      </c>
      <c r="L92" s="25"/>
      <c r="M92" s="26"/>
      <c r="N92" s="26"/>
      <c r="O92" s="26"/>
      <c r="P92" s="26"/>
      <c r="Q92" s="26"/>
      <c r="R92" s="27">
        <f t="shared" si="4"/>
        <v>0</v>
      </c>
      <c r="S92" s="20"/>
      <c r="T92" s="31"/>
      <c r="U92" s="32"/>
      <c r="V92" s="32"/>
      <c r="W92" s="31"/>
      <c r="X92" s="32"/>
      <c r="Y92" s="33"/>
    </row>
    <row r="93" spans="1:25" x14ac:dyDescent="0.2">
      <c r="A93" s="118"/>
      <c r="B93" s="118"/>
      <c r="C93" s="118">
        <v>32</v>
      </c>
      <c r="D93" s="25"/>
      <c r="E93" s="26"/>
      <c r="F93" s="26"/>
      <c r="G93" s="26"/>
      <c r="H93" s="26"/>
      <c r="I93" s="26"/>
      <c r="J93" s="27">
        <f t="shared" si="3"/>
        <v>0</v>
      </c>
      <c r="L93" s="25"/>
      <c r="M93" s="26"/>
      <c r="N93" s="26"/>
      <c r="O93" s="26"/>
      <c r="P93" s="26"/>
      <c r="Q93" s="26"/>
      <c r="R93" s="27">
        <f t="shared" si="4"/>
        <v>0</v>
      </c>
      <c r="S93" s="20"/>
      <c r="T93" s="31"/>
      <c r="U93" s="32"/>
      <c r="V93" s="32"/>
      <c r="W93" s="31"/>
      <c r="X93" s="32"/>
      <c r="Y93" s="33"/>
    </row>
    <row r="94" spans="1:25" ht="12.75" thickBot="1" x14ac:dyDescent="0.25">
      <c r="A94" s="118"/>
      <c r="B94" s="119"/>
      <c r="C94" s="119">
        <v>37</v>
      </c>
      <c r="D94" s="35"/>
      <c r="E94" s="36"/>
      <c r="F94" s="36"/>
      <c r="G94" s="36"/>
      <c r="H94" s="36"/>
      <c r="I94" s="36"/>
      <c r="J94" s="37">
        <f t="shared" si="3"/>
        <v>0</v>
      </c>
      <c r="L94" s="35"/>
      <c r="M94" s="36"/>
      <c r="N94" s="36"/>
      <c r="O94" s="36"/>
      <c r="P94" s="36"/>
      <c r="Q94" s="36"/>
      <c r="R94" s="37">
        <f t="shared" si="4"/>
        <v>0</v>
      </c>
      <c r="S94" s="20"/>
      <c r="T94" s="41"/>
      <c r="U94" s="42"/>
      <c r="V94" s="42"/>
      <c r="W94" s="41"/>
      <c r="X94" s="42"/>
      <c r="Y94" s="43"/>
    </row>
    <row r="95" spans="1:25" x14ac:dyDescent="0.2">
      <c r="A95" s="118"/>
      <c r="B95" s="117" t="s">
        <v>65</v>
      </c>
      <c r="C95" s="117">
        <v>22</v>
      </c>
      <c r="D95" s="14"/>
      <c r="E95" s="15"/>
      <c r="F95" s="15"/>
      <c r="G95" s="15"/>
      <c r="H95" s="15"/>
      <c r="I95" s="15"/>
      <c r="J95" s="16">
        <f t="shared" si="3"/>
        <v>0</v>
      </c>
      <c r="L95" s="14"/>
      <c r="M95" s="15"/>
      <c r="N95" s="15"/>
      <c r="O95" s="15"/>
      <c r="P95" s="15"/>
      <c r="Q95" s="15"/>
      <c r="R95" s="16">
        <f t="shared" si="4"/>
        <v>0</v>
      </c>
      <c r="S95" s="20"/>
      <c r="T95" s="21" t="e">
        <f>bdrate($D95:$D98,E95:E98,$L95:$L98,M95:M98)</f>
        <v>#VALUE!</v>
      </c>
      <c r="U95" s="22" t="e">
        <f>bdrate($D95:$D98,F95:F98,$L95:$L98,N95:N98)</f>
        <v>#VALUE!</v>
      </c>
      <c r="V95" s="22" t="e">
        <f>bdrate($D95:$D98,G95:G98,$L95:$L98,O95:O98)</f>
        <v>#VALUE!</v>
      </c>
      <c r="W95" s="44" t="e">
        <f>bdrateOld($D95:$D98,E95:E98,$L95:$L98,M95:M98)</f>
        <v>#VALUE!</v>
      </c>
      <c r="X95" s="45" t="e">
        <f>bdrateOld($D95:$D98,F95:F98,$L95:$L98,N95:N98)</f>
        <v>#VALUE!</v>
      </c>
      <c r="Y95" s="46" t="e">
        <f>bdrateOld($D95:$D98,G95:G98,$L95:$L98,O95:O98)</f>
        <v>#VALUE!</v>
      </c>
    </row>
    <row r="96" spans="1:25" x14ac:dyDescent="0.2">
      <c r="A96" s="118"/>
      <c r="B96" s="118"/>
      <c r="C96" s="118">
        <v>27</v>
      </c>
      <c r="D96" s="25"/>
      <c r="E96" s="26"/>
      <c r="F96" s="26"/>
      <c r="G96" s="26"/>
      <c r="H96" s="26"/>
      <c r="I96" s="26"/>
      <c r="J96" s="27">
        <f t="shared" si="3"/>
        <v>0</v>
      </c>
      <c r="L96" s="25"/>
      <c r="M96" s="26"/>
      <c r="N96" s="26"/>
      <c r="O96" s="26"/>
      <c r="P96" s="26"/>
      <c r="Q96" s="26"/>
      <c r="R96" s="27">
        <f t="shared" si="4"/>
        <v>0</v>
      </c>
      <c r="S96" s="20"/>
      <c r="T96" s="31"/>
      <c r="U96" s="32"/>
      <c r="V96" s="32"/>
      <c r="W96" s="31"/>
      <c r="X96" s="32"/>
      <c r="Y96" s="33"/>
    </row>
    <row r="97" spans="1:25" x14ac:dyDescent="0.2">
      <c r="A97" s="118"/>
      <c r="B97" s="118"/>
      <c r="C97" s="118">
        <v>32</v>
      </c>
      <c r="D97" s="25"/>
      <c r="E97" s="26"/>
      <c r="F97" s="26"/>
      <c r="G97" s="26"/>
      <c r="H97" s="26"/>
      <c r="I97" s="26"/>
      <c r="J97" s="27">
        <f t="shared" si="3"/>
        <v>0</v>
      </c>
      <c r="L97" s="25"/>
      <c r="M97" s="26"/>
      <c r="N97" s="26"/>
      <c r="O97" s="26"/>
      <c r="P97" s="26"/>
      <c r="Q97" s="26"/>
      <c r="R97" s="27">
        <f t="shared" si="4"/>
        <v>0</v>
      </c>
      <c r="S97" s="20"/>
      <c r="T97" s="31"/>
      <c r="U97" s="32"/>
      <c r="V97" s="32"/>
      <c r="W97" s="31"/>
      <c r="X97" s="32"/>
      <c r="Y97" s="33"/>
    </row>
    <row r="98" spans="1:25" ht="12.75" thickBot="1" x14ac:dyDescent="0.25">
      <c r="A98" s="119"/>
      <c r="B98" s="119"/>
      <c r="C98" s="119">
        <v>37</v>
      </c>
      <c r="D98" s="35"/>
      <c r="E98" s="36"/>
      <c r="F98" s="36"/>
      <c r="G98" s="36"/>
      <c r="H98" s="36"/>
      <c r="I98" s="36"/>
      <c r="J98" s="37">
        <f t="shared" si="3"/>
        <v>0</v>
      </c>
      <c r="L98" s="35"/>
      <c r="M98" s="36"/>
      <c r="N98" s="36"/>
      <c r="O98" s="36"/>
      <c r="P98" s="36"/>
      <c r="Q98" s="36"/>
      <c r="R98" s="37">
        <f t="shared" si="4"/>
        <v>0</v>
      </c>
      <c r="S98" s="20"/>
      <c r="T98" s="31"/>
      <c r="U98" s="32"/>
      <c r="V98" s="32"/>
      <c r="W98" s="31"/>
      <c r="X98" s="32"/>
      <c r="Y98" s="33"/>
    </row>
    <row r="99" spans="1:25" x14ac:dyDescent="0.2">
      <c r="B99" s="1" t="s">
        <v>2</v>
      </c>
      <c r="T99" s="21"/>
      <c r="U99" s="22"/>
      <c r="V99" s="22"/>
      <c r="W99" s="21"/>
      <c r="X99" s="22"/>
      <c r="Y99" s="23"/>
    </row>
    <row r="100" spans="1:25" x14ac:dyDescent="0.2">
      <c r="B100" s="1" t="s">
        <v>7</v>
      </c>
      <c r="T100" s="44" t="e">
        <f t="shared" ref="T100:Y100" si="5">AVERAGE(T19,T23,T27,T31,T35)</f>
        <v>#VALUE!</v>
      </c>
      <c r="U100" s="45" t="e">
        <f t="shared" si="5"/>
        <v>#VALUE!</v>
      </c>
      <c r="V100" s="45" t="e">
        <f t="shared" si="5"/>
        <v>#VALUE!</v>
      </c>
      <c r="W100" s="44" t="e">
        <f t="shared" si="5"/>
        <v>#VALUE!</v>
      </c>
      <c r="X100" s="45" t="e">
        <f t="shared" si="5"/>
        <v>#VALUE!</v>
      </c>
      <c r="Y100" s="46" t="e">
        <f t="shared" si="5"/>
        <v>#VALUE!</v>
      </c>
    </row>
    <row r="101" spans="1:25" x14ac:dyDescent="0.2">
      <c r="B101" s="1" t="s">
        <v>14</v>
      </c>
      <c r="T101" s="44" t="e">
        <f t="shared" ref="T101:Y101" si="6">AVERAGE(T39,T43,T47,T51)</f>
        <v>#VALUE!</v>
      </c>
      <c r="U101" s="45" t="e">
        <f t="shared" si="6"/>
        <v>#VALUE!</v>
      </c>
      <c r="V101" s="45" t="e">
        <f t="shared" si="6"/>
        <v>#VALUE!</v>
      </c>
      <c r="W101" s="44" t="e">
        <f t="shared" si="6"/>
        <v>#VALUE!</v>
      </c>
      <c r="X101" s="45" t="e">
        <f t="shared" si="6"/>
        <v>#VALUE!</v>
      </c>
      <c r="Y101" s="46" t="e">
        <f t="shared" si="6"/>
        <v>#VALUE!</v>
      </c>
    </row>
    <row r="102" spans="1:25" x14ac:dyDescent="0.2">
      <c r="B102" s="1" t="s">
        <v>20</v>
      </c>
      <c r="T102" s="44" t="e">
        <f t="shared" ref="T102:Y102" si="7">AVERAGE(T55,T59,T63,T67)</f>
        <v>#VALUE!</v>
      </c>
      <c r="U102" s="45" t="e">
        <f t="shared" si="7"/>
        <v>#VALUE!</v>
      </c>
      <c r="V102" s="45" t="e">
        <f t="shared" si="7"/>
        <v>#VALUE!</v>
      </c>
      <c r="W102" s="44" t="e">
        <f t="shared" si="7"/>
        <v>#VALUE!</v>
      </c>
      <c r="X102" s="45" t="e">
        <f t="shared" si="7"/>
        <v>#VALUE!</v>
      </c>
      <c r="Y102" s="46" t="e">
        <f t="shared" si="7"/>
        <v>#VALUE!</v>
      </c>
    </row>
    <row r="103" spans="1:25" x14ac:dyDescent="0.2">
      <c r="B103" s="1" t="s">
        <v>27</v>
      </c>
      <c r="T103" s="44" t="e">
        <f t="shared" ref="T103:Y103" si="8">AVERAGE(T71,T75,T79)</f>
        <v>#VALUE!</v>
      </c>
      <c r="U103" s="45" t="e">
        <f t="shared" si="8"/>
        <v>#VALUE!</v>
      </c>
      <c r="V103" s="45" t="e">
        <f t="shared" si="8"/>
        <v>#VALUE!</v>
      </c>
      <c r="W103" s="44" t="e">
        <f t="shared" si="8"/>
        <v>#VALUE!</v>
      </c>
      <c r="X103" s="45" t="e">
        <f t="shared" si="8"/>
        <v>#VALUE!</v>
      </c>
      <c r="Y103" s="46" t="e">
        <f t="shared" si="8"/>
        <v>#VALUE!</v>
      </c>
    </row>
    <row r="104" spans="1:25" ht="12.75" thickBot="1" x14ac:dyDescent="0.25">
      <c r="B104" s="1" t="s">
        <v>66</v>
      </c>
      <c r="T104" s="48" t="e">
        <f t="shared" ref="T104:Y104" si="9">AVERAGE(T83,T87,T91,T95)</f>
        <v>#VALUE!</v>
      </c>
      <c r="U104" s="49" t="e">
        <f t="shared" si="9"/>
        <v>#VALUE!</v>
      </c>
      <c r="V104" s="49" t="e">
        <f t="shared" si="9"/>
        <v>#VALUE!</v>
      </c>
      <c r="W104" s="48" t="e">
        <f t="shared" si="9"/>
        <v>#VALUE!</v>
      </c>
      <c r="X104" s="49" t="e">
        <f t="shared" si="9"/>
        <v>#VALUE!</v>
      </c>
      <c r="Y104" s="50" t="e">
        <f t="shared" si="9"/>
        <v>#VALUE!</v>
      </c>
    </row>
    <row r="105" spans="1:25" ht="12.75" thickBot="1" x14ac:dyDescent="0.25">
      <c r="A105" s="3"/>
      <c r="B105" s="4" t="s">
        <v>28</v>
      </c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48" t="e">
        <f t="shared" ref="T105:Y105" si="10">AVERAGE(T3:T98)</f>
        <v>#VALUE!</v>
      </c>
      <c r="U105" s="49" t="e">
        <f t="shared" si="10"/>
        <v>#VALUE!</v>
      </c>
      <c r="V105" s="50" t="e">
        <f t="shared" si="10"/>
        <v>#VALUE!</v>
      </c>
      <c r="W105" s="49" t="e">
        <f t="shared" si="10"/>
        <v>#VALUE!</v>
      </c>
      <c r="X105" s="49" t="e">
        <f t="shared" si="10"/>
        <v>#VALUE!</v>
      </c>
      <c r="Y105" s="50" t="e">
        <f t="shared" si="10"/>
        <v>#VALUE!</v>
      </c>
    </row>
    <row r="106" spans="1:25" x14ac:dyDescent="0.2">
      <c r="B106" s="1" t="s">
        <v>29</v>
      </c>
      <c r="I106" s="54" t="e">
        <f>GEOMEAN(I3:I98)</f>
        <v>#NUM!</v>
      </c>
      <c r="J106" s="54" t="e">
        <f>GEOMEAN(J3:J98)</f>
        <v>#NUM!</v>
      </c>
      <c r="Q106" s="54" t="e">
        <f>GEOMEAN(Q3:Q98)</f>
        <v>#NUM!</v>
      </c>
      <c r="R106" s="54" t="e">
        <f>GEOMEAN(R3:R98)</f>
        <v>#NUM!</v>
      </c>
    </row>
    <row r="107" spans="1:25" x14ac:dyDescent="0.2">
      <c r="B107" s="1" t="s">
        <v>30</v>
      </c>
      <c r="Q107" s="55" t="e">
        <f>Q106/I106</f>
        <v>#NUM!</v>
      </c>
      <c r="R107" s="55" t="e">
        <f>R106/J106</f>
        <v>#NUM!</v>
      </c>
    </row>
    <row r="108" spans="1:25" x14ac:dyDescent="0.2">
      <c r="B108" s="1" t="s">
        <v>31</v>
      </c>
      <c r="I108" s="54">
        <f>SUM(I3:I98)/3600</f>
        <v>0</v>
      </c>
      <c r="J108" s="54">
        <f>SUM(J3:J98)</f>
        <v>0</v>
      </c>
      <c r="Q108" s="54">
        <f>SUM(Q3:Q98)/3600</f>
        <v>0</v>
      </c>
      <c r="R108" s="54">
        <f>SUM(R3:R98)</f>
        <v>0</v>
      </c>
    </row>
    <row r="111" spans="1:25" ht="12.75" thickBot="1" x14ac:dyDescent="0.25">
      <c r="B111" s="1" t="s">
        <v>71</v>
      </c>
      <c r="T111" s="48"/>
      <c r="U111" s="49"/>
      <c r="V111" s="49"/>
      <c r="W111" s="48"/>
      <c r="X111" s="49"/>
      <c r="Y111" s="50"/>
    </row>
    <row r="112" spans="1:25" ht="12.75" thickBot="1" x14ac:dyDescent="0.25">
      <c r="A112" s="3"/>
      <c r="B112" s="4" t="s">
        <v>72</v>
      </c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48" t="e">
        <f t="shared" ref="T112:Y112" si="11">AVERAGE(T3,T7,T19,T23,T27,T31,T35,T39,T43,T47,T51,T55,T59,T63,T67,T71,T75,T79)</f>
        <v>#VALUE!</v>
      </c>
      <c r="U112" s="49" t="e">
        <f t="shared" si="11"/>
        <v>#VALUE!</v>
      </c>
      <c r="V112" s="50" t="e">
        <f t="shared" si="11"/>
        <v>#VALUE!</v>
      </c>
      <c r="W112" s="49" t="e">
        <f t="shared" si="11"/>
        <v>#VALUE!</v>
      </c>
      <c r="X112" s="49" t="e">
        <f t="shared" si="11"/>
        <v>#VALUE!</v>
      </c>
      <c r="Y112" s="50" t="e">
        <f t="shared" si="11"/>
        <v>#VALUE!</v>
      </c>
    </row>
    <row r="113" spans="2:18" x14ac:dyDescent="0.2">
      <c r="B113" s="1" t="s">
        <v>29</v>
      </c>
      <c r="I113" s="54" t="e">
        <f>GEOMEAN(I19:I82)</f>
        <v>#NUM!</v>
      </c>
      <c r="J113" s="54" t="e">
        <f>GEOMEAN(J19:J82)</f>
        <v>#NUM!</v>
      </c>
      <c r="Q113" s="54" t="e">
        <f>GEOMEAN(Q19:Q82)</f>
        <v>#NUM!</v>
      </c>
      <c r="R113" s="54" t="e">
        <f>GEOMEAN(R19:R82)</f>
        <v>#NUM!</v>
      </c>
    </row>
    <row r="114" spans="2:18" x14ac:dyDescent="0.2">
      <c r="B114" s="1" t="s">
        <v>30</v>
      </c>
      <c r="Q114" s="55" t="e">
        <f>Q113/I113</f>
        <v>#NUM!</v>
      </c>
      <c r="R114" s="55" t="e">
        <f>R113/J113</f>
        <v>#NUM!</v>
      </c>
    </row>
  </sheetData>
  <mergeCells count="4">
    <mergeCell ref="D1:J1"/>
    <mergeCell ref="L1:R1"/>
    <mergeCell ref="T1:V1"/>
    <mergeCell ref="W1:Y1"/>
  </mergeCells>
  <phoneticPr fontId="2" type="noConversion"/>
  <conditionalFormatting sqref="W78:X78">
    <cfRule type="cellIs" dxfId="1059" priority="55" operator="greaterThan">
      <formula>0.03</formula>
    </cfRule>
    <cfRule type="cellIs" dxfId="1058" priority="56" stopIfTrue="1" operator="lessThan">
      <formula>-0.03</formula>
    </cfRule>
  </conditionalFormatting>
  <conditionalFormatting sqref="T3:V82">
    <cfRule type="cellIs" dxfId="1057" priority="215" operator="greaterThan">
      <formula>0.03</formula>
    </cfRule>
    <cfRule type="cellIs" dxfId="1056" priority="216" stopIfTrue="1" operator="lessThan">
      <formula>-0.03</formula>
    </cfRule>
  </conditionalFormatting>
  <conditionalFormatting sqref="W3">
    <cfRule type="cellIs" dxfId="1055" priority="213" operator="greaterThan">
      <formula>0.03</formula>
    </cfRule>
    <cfRule type="cellIs" dxfId="1054" priority="214" stopIfTrue="1" operator="lessThan">
      <formula>-0.03</formula>
    </cfRule>
  </conditionalFormatting>
  <conditionalFormatting sqref="X3">
    <cfRule type="cellIs" dxfId="1053" priority="211" operator="greaterThan">
      <formula>0.03</formula>
    </cfRule>
    <cfRule type="cellIs" dxfId="1052" priority="212" stopIfTrue="1" operator="lessThan">
      <formula>-0.03</formula>
    </cfRule>
  </conditionalFormatting>
  <conditionalFormatting sqref="Y3">
    <cfRule type="cellIs" dxfId="1051" priority="209" operator="greaterThan">
      <formula>0.03</formula>
    </cfRule>
    <cfRule type="cellIs" dxfId="1050" priority="210" stopIfTrue="1" operator="lessThan">
      <formula>-0.03</formula>
    </cfRule>
  </conditionalFormatting>
  <conditionalFormatting sqref="W7">
    <cfRule type="cellIs" dxfId="1049" priority="207" operator="greaterThan">
      <formula>0.03</formula>
    </cfRule>
    <cfRule type="cellIs" dxfId="1048" priority="208" stopIfTrue="1" operator="lessThan">
      <formula>-0.03</formula>
    </cfRule>
  </conditionalFormatting>
  <conditionalFormatting sqref="X7">
    <cfRule type="cellIs" dxfId="1047" priority="205" operator="greaterThan">
      <formula>0.03</formula>
    </cfRule>
    <cfRule type="cellIs" dxfId="1046" priority="206" stopIfTrue="1" operator="lessThan">
      <formula>-0.03</formula>
    </cfRule>
  </conditionalFormatting>
  <conditionalFormatting sqref="Y7">
    <cfRule type="cellIs" dxfId="1045" priority="203" operator="greaterThan">
      <formula>0.03</formula>
    </cfRule>
    <cfRule type="cellIs" dxfId="1044" priority="204" stopIfTrue="1" operator="lessThan">
      <formula>-0.03</formula>
    </cfRule>
  </conditionalFormatting>
  <conditionalFormatting sqref="W11">
    <cfRule type="cellIs" dxfId="1043" priority="201" operator="greaterThan">
      <formula>0.03</formula>
    </cfRule>
    <cfRule type="cellIs" dxfId="1042" priority="202" stopIfTrue="1" operator="lessThan">
      <formula>-0.03</formula>
    </cfRule>
  </conditionalFormatting>
  <conditionalFormatting sqref="X11">
    <cfRule type="cellIs" dxfId="1041" priority="199" operator="greaterThan">
      <formula>0.03</formula>
    </cfRule>
    <cfRule type="cellIs" dxfId="1040" priority="200" stopIfTrue="1" operator="lessThan">
      <formula>-0.03</formula>
    </cfRule>
  </conditionalFormatting>
  <conditionalFormatting sqref="Y11">
    <cfRule type="cellIs" dxfId="1039" priority="197" operator="greaterThan">
      <formula>0.03</formula>
    </cfRule>
    <cfRule type="cellIs" dxfId="1038" priority="198" stopIfTrue="1" operator="lessThan">
      <formula>-0.03</formula>
    </cfRule>
  </conditionalFormatting>
  <conditionalFormatting sqref="W15">
    <cfRule type="cellIs" dxfId="1037" priority="195" operator="greaterThan">
      <formula>0.03</formula>
    </cfRule>
    <cfRule type="cellIs" dxfId="1036" priority="196" stopIfTrue="1" operator="lessThan">
      <formula>-0.03</formula>
    </cfRule>
  </conditionalFormatting>
  <conditionalFormatting sqref="X15">
    <cfRule type="cellIs" dxfId="1035" priority="193" operator="greaterThan">
      <formula>0.03</formula>
    </cfRule>
    <cfRule type="cellIs" dxfId="1034" priority="194" stopIfTrue="1" operator="lessThan">
      <formula>-0.03</formula>
    </cfRule>
  </conditionalFormatting>
  <conditionalFormatting sqref="Y15">
    <cfRule type="cellIs" dxfId="1033" priority="191" operator="greaterThan">
      <formula>0.03</formula>
    </cfRule>
    <cfRule type="cellIs" dxfId="1032" priority="192" stopIfTrue="1" operator="lessThan">
      <formula>-0.03</formula>
    </cfRule>
  </conditionalFormatting>
  <conditionalFormatting sqref="W19">
    <cfRule type="cellIs" dxfId="1031" priority="189" operator="greaterThan">
      <formula>0.03</formula>
    </cfRule>
    <cfRule type="cellIs" dxfId="1030" priority="190" stopIfTrue="1" operator="lessThan">
      <formula>-0.03</formula>
    </cfRule>
  </conditionalFormatting>
  <conditionalFormatting sqref="X19">
    <cfRule type="cellIs" dxfId="1029" priority="187" operator="greaterThan">
      <formula>0.03</formula>
    </cfRule>
    <cfRule type="cellIs" dxfId="1028" priority="188" stopIfTrue="1" operator="lessThan">
      <formula>-0.03</formula>
    </cfRule>
  </conditionalFormatting>
  <conditionalFormatting sqref="Y19">
    <cfRule type="cellIs" dxfId="1027" priority="185" operator="greaterThan">
      <formula>0.03</formula>
    </cfRule>
    <cfRule type="cellIs" dxfId="1026" priority="186" stopIfTrue="1" operator="lessThan">
      <formula>-0.03</formula>
    </cfRule>
  </conditionalFormatting>
  <conditionalFormatting sqref="W23">
    <cfRule type="cellIs" dxfId="1025" priority="183" operator="greaterThan">
      <formula>0.03</formula>
    </cfRule>
    <cfRule type="cellIs" dxfId="1024" priority="184" stopIfTrue="1" operator="lessThan">
      <formula>-0.03</formula>
    </cfRule>
  </conditionalFormatting>
  <conditionalFormatting sqref="X23">
    <cfRule type="cellIs" dxfId="1023" priority="181" operator="greaterThan">
      <formula>0.03</formula>
    </cfRule>
    <cfRule type="cellIs" dxfId="1022" priority="182" stopIfTrue="1" operator="lessThan">
      <formula>-0.03</formula>
    </cfRule>
  </conditionalFormatting>
  <conditionalFormatting sqref="Y23">
    <cfRule type="cellIs" dxfId="1021" priority="179" operator="greaterThan">
      <formula>0.03</formula>
    </cfRule>
    <cfRule type="cellIs" dxfId="1020" priority="180" stopIfTrue="1" operator="lessThan">
      <formula>-0.03</formula>
    </cfRule>
  </conditionalFormatting>
  <conditionalFormatting sqref="W27">
    <cfRule type="cellIs" dxfId="1019" priority="177" operator="greaterThan">
      <formula>0.03</formula>
    </cfRule>
    <cfRule type="cellIs" dxfId="1018" priority="178" stopIfTrue="1" operator="lessThan">
      <formula>-0.03</formula>
    </cfRule>
  </conditionalFormatting>
  <conditionalFormatting sqref="X27">
    <cfRule type="cellIs" dxfId="1017" priority="175" operator="greaterThan">
      <formula>0.03</formula>
    </cfRule>
    <cfRule type="cellIs" dxfId="1016" priority="176" stopIfTrue="1" operator="lessThan">
      <formula>-0.03</formula>
    </cfRule>
  </conditionalFormatting>
  <conditionalFormatting sqref="Y27">
    <cfRule type="cellIs" dxfId="1015" priority="173" operator="greaterThan">
      <formula>0.03</formula>
    </cfRule>
    <cfRule type="cellIs" dxfId="1014" priority="174" stopIfTrue="1" operator="lessThan">
      <formula>-0.03</formula>
    </cfRule>
  </conditionalFormatting>
  <conditionalFormatting sqref="W31">
    <cfRule type="cellIs" dxfId="1013" priority="171" operator="greaterThan">
      <formula>0.03</formula>
    </cfRule>
    <cfRule type="cellIs" dxfId="1012" priority="172" stopIfTrue="1" operator="lessThan">
      <formula>-0.03</formula>
    </cfRule>
  </conditionalFormatting>
  <conditionalFormatting sqref="X31">
    <cfRule type="cellIs" dxfId="1011" priority="169" operator="greaterThan">
      <formula>0.03</formula>
    </cfRule>
    <cfRule type="cellIs" dxfId="1010" priority="170" stopIfTrue="1" operator="lessThan">
      <formula>-0.03</formula>
    </cfRule>
  </conditionalFormatting>
  <conditionalFormatting sqref="Y31">
    <cfRule type="cellIs" dxfId="1009" priority="167" operator="greaterThan">
      <formula>0.03</formula>
    </cfRule>
    <cfRule type="cellIs" dxfId="1008" priority="168" stopIfTrue="1" operator="lessThan">
      <formula>-0.03</formula>
    </cfRule>
  </conditionalFormatting>
  <conditionalFormatting sqref="W35">
    <cfRule type="cellIs" dxfId="1007" priority="165" operator="greaterThan">
      <formula>0.03</formula>
    </cfRule>
    <cfRule type="cellIs" dxfId="1006" priority="166" stopIfTrue="1" operator="lessThan">
      <formula>-0.03</formula>
    </cfRule>
  </conditionalFormatting>
  <conditionalFormatting sqref="X35">
    <cfRule type="cellIs" dxfId="1005" priority="163" operator="greaterThan">
      <formula>0.03</formula>
    </cfRule>
    <cfRule type="cellIs" dxfId="1004" priority="164" stopIfTrue="1" operator="lessThan">
      <formula>-0.03</formula>
    </cfRule>
  </conditionalFormatting>
  <conditionalFormatting sqref="Y35">
    <cfRule type="cellIs" dxfId="1003" priority="161" operator="greaterThan">
      <formula>0.03</formula>
    </cfRule>
    <cfRule type="cellIs" dxfId="1002" priority="162" stopIfTrue="1" operator="lessThan">
      <formula>-0.03</formula>
    </cfRule>
  </conditionalFormatting>
  <conditionalFormatting sqref="W39">
    <cfRule type="cellIs" dxfId="1001" priority="159" operator="greaterThan">
      <formula>0.03</formula>
    </cfRule>
    <cfRule type="cellIs" dxfId="1000" priority="160" stopIfTrue="1" operator="lessThan">
      <formula>-0.03</formula>
    </cfRule>
  </conditionalFormatting>
  <conditionalFormatting sqref="X39">
    <cfRule type="cellIs" dxfId="999" priority="157" operator="greaterThan">
      <formula>0.03</formula>
    </cfRule>
    <cfRule type="cellIs" dxfId="998" priority="158" stopIfTrue="1" operator="lessThan">
      <formula>-0.03</formula>
    </cfRule>
  </conditionalFormatting>
  <conditionalFormatting sqref="Y39">
    <cfRule type="cellIs" dxfId="997" priority="155" operator="greaterThan">
      <formula>0.03</formula>
    </cfRule>
    <cfRule type="cellIs" dxfId="996" priority="156" stopIfTrue="1" operator="lessThan">
      <formula>-0.03</formula>
    </cfRule>
  </conditionalFormatting>
  <conditionalFormatting sqref="W43">
    <cfRule type="cellIs" dxfId="995" priority="153" operator="greaterThan">
      <formula>0.03</formula>
    </cfRule>
    <cfRule type="cellIs" dxfId="994" priority="154" stopIfTrue="1" operator="lessThan">
      <formula>-0.03</formula>
    </cfRule>
  </conditionalFormatting>
  <conditionalFormatting sqref="X43">
    <cfRule type="cellIs" dxfId="993" priority="151" operator="greaterThan">
      <formula>0.03</formula>
    </cfRule>
    <cfRule type="cellIs" dxfId="992" priority="152" stopIfTrue="1" operator="lessThan">
      <formula>-0.03</formula>
    </cfRule>
  </conditionalFormatting>
  <conditionalFormatting sqref="Y43">
    <cfRule type="cellIs" dxfId="991" priority="149" operator="greaterThan">
      <formula>0.03</formula>
    </cfRule>
    <cfRule type="cellIs" dxfId="990" priority="150" stopIfTrue="1" operator="lessThan">
      <formula>-0.03</formula>
    </cfRule>
  </conditionalFormatting>
  <conditionalFormatting sqref="W47">
    <cfRule type="cellIs" dxfId="989" priority="147" operator="greaterThan">
      <formula>0.03</formula>
    </cfRule>
    <cfRule type="cellIs" dxfId="988" priority="148" stopIfTrue="1" operator="lessThan">
      <formula>-0.03</formula>
    </cfRule>
  </conditionalFormatting>
  <conditionalFormatting sqref="X47">
    <cfRule type="cellIs" dxfId="987" priority="145" operator="greaterThan">
      <formula>0.03</formula>
    </cfRule>
    <cfRule type="cellIs" dxfId="986" priority="146" stopIfTrue="1" operator="lessThan">
      <formula>-0.03</formula>
    </cfRule>
  </conditionalFormatting>
  <conditionalFormatting sqref="Y47">
    <cfRule type="cellIs" dxfId="985" priority="143" operator="greaterThan">
      <formula>0.03</formula>
    </cfRule>
    <cfRule type="cellIs" dxfId="984" priority="144" stopIfTrue="1" operator="lessThan">
      <formula>-0.03</formula>
    </cfRule>
  </conditionalFormatting>
  <conditionalFormatting sqref="W51">
    <cfRule type="cellIs" dxfId="983" priority="141" operator="greaterThan">
      <formula>0.03</formula>
    </cfRule>
    <cfRule type="cellIs" dxfId="982" priority="142" stopIfTrue="1" operator="lessThan">
      <formula>-0.03</formula>
    </cfRule>
  </conditionalFormatting>
  <conditionalFormatting sqref="X51">
    <cfRule type="cellIs" dxfId="981" priority="139" operator="greaterThan">
      <formula>0.03</formula>
    </cfRule>
    <cfRule type="cellIs" dxfId="980" priority="140" stopIfTrue="1" operator="lessThan">
      <formula>-0.03</formula>
    </cfRule>
  </conditionalFormatting>
  <conditionalFormatting sqref="Y51">
    <cfRule type="cellIs" dxfId="979" priority="137" operator="greaterThan">
      <formula>0.03</formula>
    </cfRule>
    <cfRule type="cellIs" dxfId="978" priority="138" stopIfTrue="1" operator="lessThan">
      <formula>-0.03</formula>
    </cfRule>
  </conditionalFormatting>
  <conditionalFormatting sqref="W55">
    <cfRule type="cellIs" dxfId="977" priority="135" operator="greaterThan">
      <formula>0.03</formula>
    </cfRule>
    <cfRule type="cellIs" dxfId="976" priority="136" stopIfTrue="1" operator="lessThan">
      <formula>-0.03</formula>
    </cfRule>
  </conditionalFormatting>
  <conditionalFormatting sqref="X55">
    <cfRule type="cellIs" dxfId="975" priority="133" operator="greaterThan">
      <formula>0.03</formula>
    </cfRule>
    <cfRule type="cellIs" dxfId="974" priority="134" stopIfTrue="1" operator="lessThan">
      <formula>-0.03</formula>
    </cfRule>
  </conditionalFormatting>
  <conditionalFormatting sqref="Y55">
    <cfRule type="cellIs" dxfId="973" priority="131" operator="greaterThan">
      <formula>0.03</formula>
    </cfRule>
    <cfRule type="cellIs" dxfId="972" priority="132" stopIfTrue="1" operator="lessThan">
      <formula>-0.03</formula>
    </cfRule>
  </conditionalFormatting>
  <conditionalFormatting sqref="W59">
    <cfRule type="cellIs" dxfId="971" priority="129" operator="greaterThan">
      <formula>0.03</formula>
    </cfRule>
    <cfRule type="cellIs" dxfId="970" priority="130" stopIfTrue="1" operator="lessThan">
      <formula>-0.03</formula>
    </cfRule>
  </conditionalFormatting>
  <conditionalFormatting sqref="X59">
    <cfRule type="cellIs" dxfId="969" priority="127" operator="greaterThan">
      <formula>0.03</formula>
    </cfRule>
    <cfRule type="cellIs" dxfId="968" priority="128" stopIfTrue="1" operator="lessThan">
      <formula>-0.03</formula>
    </cfRule>
  </conditionalFormatting>
  <conditionalFormatting sqref="Y59">
    <cfRule type="cellIs" dxfId="967" priority="125" operator="greaterThan">
      <formula>0.03</formula>
    </cfRule>
    <cfRule type="cellIs" dxfId="966" priority="126" stopIfTrue="1" operator="lessThan">
      <formula>-0.03</formula>
    </cfRule>
  </conditionalFormatting>
  <conditionalFormatting sqref="W63">
    <cfRule type="cellIs" dxfId="965" priority="123" operator="greaterThan">
      <formula>0.03</formula>
    </cfRule>
    <cfRule type="cellIs" dxfId="964" priority="124" stopIfTrue="1" operator="lessThan">
      <formula>-0.03</formula>
    </cfRule>
  </conditionalFormatting>
  <conditionalFormatting sqref="X63">
    <cfRule type="cellIs" dxfId="963" priority="121" operator="greaterThan">
      <formula>0.03</formula>
    </cfRule>
    <cfRule type="cellIs" dxfId="962" priority="122" stopIfTrue="1" operator="lessThan">
      <formula>-0.03</formula>
    </cfRule>
  </conditionalFormatting>
  <conditionalFormatting sqref="Y63">
    <cfRule type="cellIs" dxfId="961" priority="119" operator="greaterThan">
      <formula>0.03</formula>
    </cfRule>
    <cfRule type="cellIs" dxfId="960" priority="120" stopIfTrue="1" operator="lessThan">
      <formula>-0.03</formula>
    </cfRule>
  </conditionalFormatting>
  <conditionalFormatting sqref="W67">
    <cfRule type="cellIs" dxfId="959" priority="117" operator="greaterThan">
      <formula>0.03</formula>
    </cfRule>
    <cfRule type="cellIs" dxfId="958" priority="118" stopIfTrue="1" operator="lessThan">
      <formula>-0.03</formula>
    </cfRule>
  </conditionalFormatting>
  <conditionalFormatting sqref="X67">
    <cfRule type="cellIs" dxfId="957" priority="115" operator="greaterThan">
      <formula>0.03</formula>
    </cfRule>
    <cfRule type="cellIs" dxfId="956" priority="116" stopIfTrue="1" operator="lessThan">
      <formula>-0.03</formula>
    </cfRule>
  </conditionalFormatting>
  <conditionalFormatting sqref="Y67">
    <cfRule type="cellIs" dxfId="955" priority="113" operator="greaterThan">
      <formula>0.03</formula>
    </cfRule>
    <cfRule type="cellIs" dxfId="954" priority="114" stopIfTrue="1" operator="lessThan">
      <formula>-0.03</formula>
    </cfRule>
  </conditionalFormatting>
  <conditionalFormatting sqref="W71">
    <cfRule type="cellIs" dxfId="953" priority="111" operator="greaterThan">
      <formula>0.03</formula>
    </cfRule>
    <cfRule type="cellIs" dxfId="952" priority="112" stopIfTrue="1" operator="lessThan">
      <formula>-0.03</formula>
    </cfRule>
  </conditionalFormatting>
  <conditionalFormatting sqref="X71">
    <cfRule type="cellIs" dxfId="951" priority="109" operator="greaterThan">
      <formula>0.03</formula>
    </cfRule>
    <cfRule type="cellIs" dxfId="950" priority="110" stopIfTrue="1" operator="lessThan">
      <formula>-0.03</formula>
    </cfRule>
  </conditionalFormatting>
  <conditionalFormatting sqref="Y71">
    <cfRule type="cellIs" dxfId="949" priority="107" operator="greaterThan">
      <formula>0.03</formula>
    </cfRule>
    <cfRule type="cellIs" dxfId="948" priority="108" stopIfTrue="1" operator="lessThan">
      <formula>-0.03</formula>
    </cfRule>
  </conditionalFormatting>
  <conditionalFormatting sqref="W75">
    <cfRule type="cellIs" dxfId="947" priority="105" operator="greaterThan">
      <formula>0.03</formula>
    </cfRule>
    <cfRule type="cellIs" dxfId="946" priority="106" stopIfTrue="1" operator="lessThan">
      <formula>-0.03</formula>
    </cfRule>
  </conditionalFormatting>
  <conditionalFormatting sqref="X75">
    <cfRule type="cellIs" dxfId="945" priority="103" operator="greaterThan">
      <formula>0.03</formula>
    </cfRule>
    <cfRule type="cellIs" dxfId="944" priority="104" stopIfTrue="1" operator="lessThan">
      <formula>-0.03</formula>
    </cfRule>
  </conditionalFormatting>
  <conditionalFormatting sqref="Y75">
    <cfRule type="cellIs" dxfId="943" priority="101" operator="greaterThan">
      <formula>0.03</formula>
    </cfRule>
    <cfRule type="cellIs" dxfId="942" priority="102" stopIfTrue="1" operator="lessThan">
      <formula>-0.03</formula>
    </cfRule>
  </conditionalFormatting>
  <conditionalFormatting sqref="W79">
    <cfRule type="cellIs" dxfId="941" priority="99" operator="greaterThan">
      <formula>0.03</formula>
    </cfRule>
    <cfRule type="cellIs" dxfId="940" priority="100" stopIfTrue="1" operator="lessThan">
      <formula>-0.03</formula>
    </cfRule>
  </conditionalFormatting>
  <conditionalFormatting sqref="X79">
    <cfRule type="cellIs" dxfId="939" priority="97" operator="greaterThan">
      <formula>0.03</formula>
    </cfRule>
    <cfRule type="cellIs" dxfId="938" priority="98" stopIfTrue="1" operator="lessThan">
      <formula>-0.03</formula>
    </cfRule>
  </conditionalFormatting>
  <conditionalFormatting sqref="Y79">
    <cfRule type="cellIs" dxfId="937" priority="95" operator="greaterThan">
      <formula>0.03</formula>
    </cfRule>
    <cfRule type="cellIs" dxfId="936" priority="96" stopIfTrue="1" operator="lessThan">
      <formula>-0.03</formula>
    </cfRule>
  </conditionalFormatting>
  <conditionalFormatting sqref="T83:V98">
    <cfRule type="cellIs" dxfId="935" priority="49" operator="greaterThan">
      <formula>0.03</formula>
    </cfRule>
    <cfRule type="cellIs" dxfId="934" priority="50" stopIfTrue="1" operator="lessThan">
      <formula>-0.03</formula>
    </cfRule>
  </conditionalFormatting>
  <conditionalFormatting sqref="W6:X6">
    <cfRule type="cellIs" dxfId="933" priority="91" operator="greaterThan">
      <formula>0.03</formula>
    </cfRule>
    <cfRule type="cellIs" dxfId="932" priority="92" stopIfTrue="1" operator="lessThan">
      <formula>-0.03</formula>
    </cfRule>
  </conditionalFormatting>
  <conditionalFormatting sqref="W10:X10">
    <cfRule type="cellIs" dxfId="931" priority="89" operator="greaterThan">
      <formula>0.03</formula>
    </cfRule>
    <cfRule type="cellIs" dxfId="930" priority="90" stopIfTrue="1" operator="lessThan">
      <formula>-0.03</formula>
    </cfRule>
  </conditionalFormatting>
  <conditionalFormatting sqref="W14:X14">
    <cfRule type="cellIs" dxfId="929" priority="87" operator="greaterThan">
      <formula>0.03</formula>
    </cfRule>
    <cfRule type="cellIs" dxfId="928" priority="88" stopIfTrue="1" operator="lessThan">
      <formula>-0.03</formula>
    </cfRule>
  </conditionalFormatting>
  <conditionalFormatting sqref="W18:X18">
    <cfRule type="cellIs" dxfId="927" priority="85" operator="greaterThan">
      <formula>0.03</formula>
    </cfRule>
    <cfRule type="cellIs" dxfId="926" priority="86" stopIfTrue="1" operator="lessThan">
      <formula>-0.03</formula>
    </cfRule>
  </conditionalFormatting>
  <conditionalFormatting sqref="W22:X22">
    <cfRule type="cellIs" dxfId="925" priority="83" operator="greaterThan">
      <formula>0.03</formula>
    </cfRule>
    <cfRule type="cellIs" dxfId="924" priority="84" stopIfTrue="1" operator="lessThan">
      <formula>-0.03</formula>
    </cfRule>
  </conditionalFormatting>
  <conditionalFormatting sqref="W26:X26">
    <cfRule type="cellIs" dxfId="923" priority="81" operator="greaterThan">
      <formula>0.03</formula>
    </cfRule>
    <cfRule type="cellIs" dxfId="922" priority="82" stopIfTrue="1" operator="lessThan">
      <formula>-0.03</formula>
    </cfRule>
  </conditionalFormatting>
  <conditionalFormatting sqref="W30:X30">
    <cfRule type="cellIs" dxfId="921" priority="79" operator="greaterThan">
      <formula>0.03</formula>
    </cfRule>
    <cfRule type="cellIs" dxfId="920" priority="80" stopIfTrue="1" operator="lessThan">
      <formula>-0.03</formula>
    </cfRule>
  </conditionalFormatting>
  <conditionalFormatting sqref="W34:X34">
    <cfRule type="cellIs" dxfId="919" priority="77" operator="greaterThan">
      <formula>0.03</formula>
    </cfRule>
    <cfRule type="cellIs" dxfId="918" priority="78" stopIfTrue="1" operator="lessThan">
      <formula>-0.03</formula>
    </cfRule>
  </conditionalFormatting>
  <conditionalFormatting sqref="W38:X38">
    <cfRule type="cellIs" dxfId="917" priority="75" operator="greaterThan">
      <formula>0.03</formula>
    </cfRule>
    <cfRule type="cellIs" dxfId="916" priority="76" stopIfTrue="1" operator="lessThan">
      <formula>-0.03</formula>
    </cfRule>
  </conditionalFormatting>
  <conditionalFormatting sqref="W42:X42">
    <cfRule type="cellIs" dxfId="915" priority="73" operator="greaterThan">
      <formula>0.03</formula>
    </cfRule>
    <cfRule type="cellIs" dxfId="914" priority="74" stopIfTrue="1" operator="lessThan">
      <formula>-0.03</formula>
    </cfRule>
  </conditionalFormatting>
  <conditionalFormatting sqref="W46:X46">
    <cfRule type="cellIs" dxfId="913" priority="71" operator="greaterThan">
      <formula>0.03</formula>
    </cfRule>
    <cfRule type="cellIs" dxfId="912" priority="72" stopIfTrue="1" operator="lessThan">
      <formula>-0.03</formula>
    </cfRule>
  </conditionalFormatting>
  <conditionalFormatting sqref="W50:X50">
    <cfRule type="cellIs" dxfId="911" priority="69" operator="greaterThan">
      <formula>0.03</formula>
    </cfRule>
    <cfRule type="cellIs" dxfId="910" priority="70" stopIfTrue="1" operator="lessThan">
      <formula>-0.03</formula>
    </cfRule>
  </conditionalFormatting>
  <conditionalFormatting sqref="W54:X54">
    <cfRule type="cellIs" dxfId="909" priority="67" operator="greaterThan">
      <formula>0.03</formula>
    </cfRule>
    <cfRule type="cellIs" dxfId="908" priority="68" stopIfTrue="1" operator="lessThan">
      <formula>-0.03</formula>
    </cfRule>
  </conditionalFormatting>
  <conditionalFormatting sqref="W58:X58">
    <cfRule type="cellIs" dxfId="907" priority="65" operator="greaterThan">
      <formula>0.03</formula>
    </cfRule>
    <cfRule type="cellIs" dxfId="906" priority="66" stopIfTrue="1" operator="lessThan">
      <formula>-0.03</formula>
    </cfRule>
  </conditionalFormatting>
  <conditionalFormatting sqref="W62:X62">
    <cfRule type="cellIs" dxfId="905" priority="63" operator="greaterThan">
      <formula>0.03</formula>
    </cfRule>
    <cfRule type="cellIs" dxfId="904" priority="64" stopIfTrue="1" operator="lessThan">
      <formula>-0.03</formula>
    </cfRule>
  </conditionalFormatting>
  <conditionalFormatting sqref="W66:X66">
    <cfRule type="cellIs" dxfId="903" priority="61" operator="greaterThan">
      <formula>0.03</formula>
    </cfRule>
    <cfRule type="cellIs" dxfId="902" priority="62" stopIfTrue="1" operator="lessThan">
      <formula>-0.03</formula>
    </cfRule>
  </conditionalFormatting>
  <conditionalFormatting sqref="W70:X70">
    <cfRule type="cellIs" dxfId="901" priority="59" operator="greaterThan">
      <formula>0.03</formula>
    </cfRule>
    <cfRule type="cellIs" dxfId="900" priority="60" stopIfTrue="1" operator="lessThan">
      <formula>-0.03</formula>
    </cfRule>
  </conditionalFormatting>
  <conditionalFormatting sqref="W74:X74">
    <cfRule type="cellIs" dxfId="899" priority="57" operator="greaterThan">
      <formula>0.03</formula>
    </cfRule>
    <cfRule type="cellIs" dxfId="898" priority="58" stopIfTrue="1" operator="lessThan">
      <formula>-0.03</formula>
    </cfRule>
  </conditionalFormatting>
  <conditionalFormatting sqref="T99:V105">
    <cfRule type="cellIs" dxfId="897" priority="53" operator="greaterThan">
      <formula>0.03</formula>
    </cfRule>
    <cfRule type="cellIs" dxfId="896" priority="54" stopIfTrue="1" operator="lessThan">
      <formula>-0.03</formula>
    </cfRule>
  </conditionalFormatting>
  <conditionalFormatting sqref="W99:Y103 W105:Y105">
    <cfRule type="cellIs" dxfId="895" priority="51" operator="greaterThan">
      <formula>0.03</formula>
    </cfRule>
    <cfRule type="cellIs" dxfId="894" priority="52" stopIfTrue="1" operator="lessThan">
      <formula>-0.03</formula>
    </cfRule>
  </conditionalFormatting>
  <conditionalFormatting sqref="W83">
    <cfRule type="cellIs" dxfId="893" priority="47" operator="greaterThan">
      <formula>0.03</formula>
    </cfRule>
    <cfRule type="cellIs" dxfId="892" priority="48" stopIfTrue="1" operator="lessThan">
      <formula>-0.03</formula>
    </cfRule>
  </conditionalFormatting>
  <conditionalFormatting sqref="X83">
    <cfRule type="cellIs" dxfId="891" priority="45" operator="greaterThan">
      <formula>0.03</formula>
    </cfRule>
    <cfRule type="cellIs" dxfId="890" priority="46" stopIfTrue="1" operator="lessThan">
      <formula>-0.03</formula>
    </cfRule>
  </conditionalFormatting>
  <conditionalFormatting sqref="Y83">
    <cfRule type="cellIs" dxfId="889" priority="43" operator="greaterThan">
      <formula>0.03</formula>
    </cfRule>
    <cfRule type="cellIs" dxfId="888" priority="44" stopIfTrue="1" operator="lessThan">
      <formula>-0.03</formula>
    </cfRule>
  </conditionalFormatting>
  <conditionalFormatting sqref="W87">
    <cfRule type="cellIs" dxfId="887" priority="41" operator="greaterThan">
      <formula>0.03</formula>
    </cfRule>
    <cfRule type="cellIs" dxfId="886" priority="42" stopIfTrue="1" operator="lessThan">
      <formula>-0.03</formula>
    </cfRule>
  </conditionalFormatting>
  <conditionalFormatting sqref="X87">
    <cfRule type="cellIs" dxfId="885" priority="39" operator="greaterThan">
      <formula>0.03</formula>
    </cfRule>
    <cfRule type="cellIs" dxfId="884" priority="40" stopIfTrue="1" operator="lessThan">
      <formula>-0.03</formula>
    </cfRule>
  </conditionalFormatting>
  <conditionalFormatting sqref="Y87">
    <cfRule type="cellIs" dxfId="883" priority="37" operator="greaterThan">
      <formula>0.03</formula>
    </cfRule>
    <cfRule type="cellIs" dxfId="882" priority="38" stopIfTrue="1" operator="lessThan">
      <formula>-0.03</formula>
    </cfRule>
  </conditionalFormatting>
  <conditionalFormatting sqref="W91">
    <cfRule type="cellIs" dxfId="881" priority="35" operator="greaterThan">
      <formula>0.03</formula>
    </cfRule>
    <cfRule type="cellIs" dxfId="880" priority="36" stopIfTrue="1" operator="lessThan">
      <formula>-0.03</formula>
    </cfRule>
  </conditionalFormatting>
  <conditionalFormatting sqref="X91">
    <cfRule type="cellIs" dxfId="879" priority="33" operator="greaterThan">
      <formula>0.03</formula>
    </cfRule>
    <cfRule type="cellIs" dxfId="878" priority="34" stopIfTrue="1" operator="lessThan">
      <formula>-0.03</formula>
    </cfRule>
  </conditionalFormatting>
  <conditionalFormatting sqref="Y91">
    <cfRule type="cellIs" dxfId="877" priority="31" operator="greaterThan">
      <formula>0.03</formula>
    </cfRule>
    <cfRule type="cellIs" dxfId="876" priority="32" stopIfTrue="1" operator="lessThan">
      <formula>-0.03</formula>
    </cfRule>
  </conditionalFormatting>
  <conditionalFormatting sqref="W95">
    <cfRule type="cellIs" dxfId="875" priority="29" operator="greaterThan">
      <formula>0.03</formula>
    </cfRule>
    <cfRule type="cellIs" dxfId="874" priority="30" stopIfTrue="1" operator="lessThan">
      <formula>-0.03</formula>
    </cfRule>
  </conditionalFormatting>
  <conditionalFormatting sqref="X95">
    <cfRule type="cellIs" dxfId="873" priority="27" operator="greaterThan">
      <formula>0.03</formula>
    </cfRule>
    <cfRule type="cellIs" dxfId="872" priority="28" stopIfTrue="1" operator="lessThan">
      <formula>-0.03</formula>
    </cfRule>
  </conditionalFormatting>
  <conditionalFormatting sqref="Y95">
    <cfRule type="cellIs" dxfId="871" priority="25" operator="greaterThan">
      <formula>0.03</formula>
    </cfRule>
    <cfRule type="cellIs" dxfId="870" priority="26" stopIfTrue="1" operator="lessThan">
      <formula>-0.03</formula>
    </cfRule>
  </conditionalFormatting>
  <conditionalFormatting sqref="W86:X86">
    <cfRule type="cellIs" dxfId="869" priority="23" operator="greaterThan">
      <formula>0.03</formula>
    </cfRule>
    <cfRule type="cellIs" dxfId="868" priority="24" stopIfTrue="1" operator="lessThan">
      <formula>-0.03</formula>
    </cfRule>
  </conditionalFormatting>
  <conditionalFormatting sqref="W90:X90">
    <cfRule type="cellIs" dxfId="867" priority="21" operator="greaterThan">
      <formula>0.03</formula>
    </cfRule>
    <cfRule type="cellIs" dxfId="866" priority="22" stopIfTrue="1" operator="lessThan">
      <formula>-0.03</formula>
    </cfRule>
  </conditionalFormatting>
  <conditionalFormatting sqref="W94:X94">
    <cfRule type="cellIs" dxfId="865" priority="19" operator="greaterThan">
      <formula>0.03</formula>
    </cfRule>
    <cfRule type="cellIs" dxfId="864" priority="20" stopIfTrue="1" operator="lessThan">
      <formula>-0.03</formula>
    </cfRule>
  </conditionalFormatting>
  <conditionalFormatting sqref="W98:X98">
    <cfRule type="cellIs" dxfId="863" priority="17" operator="greaterThan">
      <formula>0.03</formula>
    </cfRule>
    <cfRule type="cellIs" dxfId="862" priority="18" stopIfTrue="1" operator="lessThan">
      <formula>-0.03</formula>
    </cfRule>
  </conditionalFormatting>
  <conditionalFormatting sqref="W104">
    <cfRule type="cellIs" dxfId="861" priority="15" operator="greaterThan">
      <formula>0.03</formula>
    </cfRule>
    <cfRule type="cellIs" dxfId="860" priority="16" stopIfTrue="1" operator="lessThan">
      <formula>-0.03</formula>
    </cfRule>
  </conditionalFormatting>
  <conditionalFormatting sqref="X104">
    <cfRule type="cellIs" dxfId="859" priority="13" operator="greaterThan">
      <formula>0.03</formula>
    </cfRule>
    <cfRule type="cellIs" dxfId="858" priority="14" stopIfTrue="1" operator="lessThan">
      <formula>-0.03</formula>
    </cfRule>
  </conditionalFormatting>
  <conditionalFormatting sqref="Y104">
    <cfRule type="cellIs" dxfId="857" priority="11" operator="greaterThan">
      <formula>0.03</formula>
    </cfRule>
    <cfRule type="cellIs" dxfId="856" priority="12" stopIfTrue="1" operator="lessThan">
      <formula>-0.03</formula>
    </cfRule>
  </conditionalFormatting>
  <conditionalFormatting sqref="T111:V112">
    <cfRule type="cellIs" dxfId="855" priority="9" operator="greaterThan">
      <formula>0.03</formula>
    </cfRule>
    <cfRule type="cellIs" dxfId="854" priority="10" stopIfTrue="1" operator="lessThan">
      <formula>-0.03</formula>
    </cfRule>
  </conditionalFormatting>
  <conditionalFormatting sqref="W112:Y112">
    <cfRule type="cellIs" dxfId="853" priority="7" operator="greaterThan">
      <formula>0.03</formula>
    </cfRule>
    <cfRule type="cellIs" dxfId="852" priority="8" stopIfTrue="1" operator="lessThan">
      <formula>-0.03</formula>
    </cfRule>
  </conditionalFormatting>
  <conditionalFormatting sqref="W111">
    <cfRule type="cellIs" dxfId="851" priority="5" operator="greaterThan">
      <formula>0.03</formula>
    </cfRule>
    <cfRule type="cellIs" dxfId="850" priority="6" stopIfTrue="1" operator="lessThan">
      <formula>-0.03</formula>
    </cfRule>
  </conditionalFormatting>
  <conditionalFormatting sqref="X111">
    <cfRule type="cellIs" dxfId="849" priority="3" operator="greaterThan">
      <formula>0.03</formula>
    </cfRule>
    <cfRule type="cellIs" dxfId="848" priority="4" stopIfTrue="1" operator="lessThan">
      <formula>-0.03</formula>
    </cfRule>
  </conditionalFormatting>
  <conditionalFormatting sqref="Y111">
    <cfRule type="cellIs" dxfId="847" priority="1" operator="greaterThan">
      <formula>0.03</formula>
    </cfRule>
    <cfRule type="cellIs" dxfId="846" priority="2" stopIfTrue="1" operator="lessThan">
      <formula>-0.03</formula>
    </cfRule>
  </conditionalFormatting>
  <pageMargins left="0.75" right="0.75" top="1" bottom="1" header="0.5" footer="0.5"/>
  <pageSetup paperSize="9" orientation="portrait" horizontalDpi="4294967292" verticalDpi="4294967292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Y114"/>
  <sheetViews>
    <sheetView topLeftCell="L85" workbookViewId="0">
      <selection activeCell="Z105" sqref="Z105"/>
    </sheetView>
  </sheetViews>
  <sheetFormatPr defaultColWidth="11" defaultRowHeight="12" x14ac:dyDescent="0.2"/>
  <cols>
    <col min="1" max="1" width="8.33203125" style="1" customWidth="1"/>
    <col min="2" max="2" width="14.77734375" style="1" customWidth="1"/>
    <col min="3" max="3" width="7.77734375" style="1" customWidth="1"/>
    <col min="4" max="4" width="9.77734375" style="1" customWidth="1"/>
    <col min="5" max="7" width="6.77734375" style="1" customWidth="1"/>
    <col min="8" max="10" width="8.77734375" style="1" customWidth="1"/>
    <col min="11" max="11" width="2.77734375" style="1" customWidth="1"/>
    <col min="12" max="12" width="9.77734375" style="1" customWidth="1"/>
    <col min="13" max="15" width="6.77734375" style="1" customWidth="1"/>
    <col min="16" max="18" width="8.77734375" style="1" customWidth="1"/>
    <col min="19" max="19" width="2.77734375" style="1" customWidth="1"/>
    <col min="20" max="25" width="8.77734375" style="1" customWidth="1"/>
    <col min="26" max="16384" width="11" style="1"/>
  </cols>
  <sheetData>
    <row r="1" spans="1:25" ht="12.75" thickBot="1" x14ac:dyDescent="0.25">
      <c r="D1" s="162" t="s">
        <v>32</v>
      </c>
      <c r="E1" s="163"/>
      <c r="F1" s="163"/>
      <c r="G1" s="163"/>
      <c r="H1" s="163"/>
      <c r="I1" s="163"/>
      <c r="J1" s="164"/>
      <c r="L1" s="162" t="s">
        <v>33</v>
      </c>
      <c r="M1" s="163"/>
      <c r="N1" s="163"/>
      <c r="O1" s="163"/>
      <c r="P1" s="163"/>
      <c r="Q1" s="163"/>
      <c r="R1" s="164"/>
      <c r="S1" s="2"/>
      <c r="T1" s="162" t="s">
        <v>47</v>
      </c>
      <c r="U1" s="163"/>
      <c r="V1" s="164"/>
      <c r="W1" s="162" t="s">
        <v>48</v>
      </c>
      <c r="X1" s="163"/>
      <c r="Y1" s="164"/>
    </row>
    <row r="2" spans="1:25" ht="12.75" thickBot="1" x14ac:dyDescent="0.25">
      <c r="A2" s="3"/>
      <c r="B2" s="4"/>
      <c r="C2" s="5" t="s">
        <v>1</v>
      </c>
      <c r="D2" s="6" t="s">
        <v>34</v>
      </c>
      <c r="E2" s="7" t="s">
        <v>35</v>
      </c>
      <c r="F2" s="7" t="s">
        <v>36</v>
      </c>
      <c r="G2" s="7" t="s">
        <v>37</v>
      </c>
      <c r="H2" s="7" t="s">
        <v>38</v>
      </c>
      <c r="I2" s="7" t="s">
        <v>39</v>
      </c>
      <c r="J2" s="8" t="s">
        <v>40</v>
      </c>
      <c r="K2" s="2"/>
      <c r="L2" s="6" t="s">
        <v>34</v>
      </c>
      <c r="M2" s="7" t="s">
        <v>35</v>
      </c>
      <c r="N2" s="7" t="s">
        <v>36</v>
      </c>
      <c r="O2" s="7" t="s">
        <v>37</v>
      </c>
      <c r="P2" s="7" t="s">
        <v>38</v>
      </c>
      <c r="Q2" s="7" t="s">
        <v>39</v>
      </c>
      <c r="R2" s="8" t="s">
        <v>40</v>
      </c>
      <c r="S2" s="9"/>
      <c r="T2" s="6" t="s">
        <v>41</v>
      </c>
      <c r="U2" s="7" t="s">
        <v>42</v>
      </c>
      <c r="V2" s="8" t="s">
        <v>43</v>
      </c>
      <c r="W2" s="10" t="s">
        <v>41</v>
      </c>
      <c r="X2" s="11" t="s">
        <v>42</v>
      </c>
      <c r="Y2" s="12" t="s">
        <v>43</v>
      </c>
    </row>
    <row r="3" spans="1:25" x14ac:dyDescent="0.2">
      <c r="A3" s="13" t="s">
        <v>2</v>
      </c>
      <c r="B3" s="13" t="s">
        <v>3</v>
      </c>
      <c r="C3" s="13">
        <v>22</v>
      </c>
      <c r="D3" s="17"/>
      <c r="E3" s="18"/>
      <c r="F3" s="18"/>
      <c r="G3" s="18"/>
      <c r="H3" s="18"/>
      <c r="I3" s="18"/>
      <c r="J3" s="16">
        <f>H3/3600</f>
        <v>0</v>
      </c>
      <c r="L3" s="17"/>
      <c r="M3" s="18"/>
      <c r="N3" s="18"/>
      <c r="O3" s="18"/>
      <c r="P3" s="18"/>
      <c r="Q3" s="18"/>
      <c r="R3" s="19">
        <f>P3/3600</f>
        <v>0</v>
      </c>
      <c r="S3" s="20"/>
      <c r="T3" s="21" t="e">
        <f>bdrate($D3:$D6,E3:E6,$L3:$L6,M3:M6)</f>
        <v>#VALUE!</v>
      </c>
      <c r="U3" s="22" t="e">
        <f>bdrate($D3:$D6,F3:F6,$L3:$L6,N3:N6)</f>
        <v>#VALUE!</v>
      </c>
      <c r="V3" s="23" t="e">
        <f>bdrate($D3:$D6,G3:G6,$L3:$L6,O3:O6)</f>
        <v>#VALUE!</v>
      </c>
      <c r="W3" s="21" t="e">
        <f>bdrateOld($D3:$D6,E3:E6,$L3:$L6,M3:M6)</f>
        <v>#VALUE!</v>
      </c>
      <c r="X3" s="22" t="e">
        <f>bdrateOld($D3:$D6,F3:F6,$L3:$L6,N3:N6)</f>
        <v>#VALUE!</v>
      </c>
      <c r="Y3" s="23" t="e">
        <f>bdrateOld($D3:$D6,G3:G6,$L3:$L6,O3:O6)</f>
        <v>#VALUE!</v>
      </c>
    </row>
    <row r="4" spans="1:25" x14ac:dyDescent="0.2">
      <c r="A4" s="24" t="s">
        <v>4</v>
      </c>
      <c r="B4" s="24"/>
      <c r="C4" s="24">
        <v>27</v>
      </c>
      <c r="D4" s="28"/>
      <c r="E4" s="29"/>
      <c r="F4" s="29"/>
      <c r="G4" s="29"/>
      <c r="H4" s="29"/>
      <c r="I4" s="29"/>
      <c r="J4" s="27">
        <f t="shared" ref="J4:J67" si="0">H4/3600</f>
        <v>0</v>
      </c>
      <c r="L4" s="28"/>
      <c r="M4" s="29"/>
      <c r="N4" s="29"/>
      <c r="O4" s="29"/>
      <c r="P4" s="29"/>
      <c r="Q4" s="29"/>
      <c r="R4" s="30">
        <f t="shared" ref="R4:R67" si="1">P4/3600</f>
        <v>0</v>
      </c>
      <c r="S4" s="20"/>
      <c r="T4" s="31"/>
      <c r="U4" s="32"/>
      <c r="V4" s="33"/>
      <c r="W4" s="31"/>
      <c r="X4" s="32"/>
      <c r="Y4" s="33"/>
    </row>
    <row r="5" spans="1:25" x14ac:dyDescent="0.2">
      <c r="A5" s="24"/>
      <c r="B5" s="24"/>
      <c r="C5" s="24">
        <v>32</v>
      </c>
      <c r="D5" s="28"/>
      <c r="E5" s="29"/>
      <c r="F5" s="29"/>
      <c r="G5" s="29"/>
      <c r="H5" s="29"/>
      <c r="I5" s="29"/>
      <c r="J5" s="27">
        <f t="shared" si="0"/>
        <v>0</v>
      </c>
      <c r="L5" s="28"/>
      <c r="M5" s="29"/>
      <c r="N5" s="29"/>
      <c r="O5" s="29"/>
      <c r="P5" s="29"/>
      <c r="Q5" s="29"/>
      <c r="R5" s="30">
        <f t="shared" si="1"/>
        <v>0</v>
      </c>
      <c r="S5" s="20"/>
      <c r="T5" s="31"/>
      <c r="U5" s="32"/>
      <c r="V5" s="33"/>
      <c r="W5" s="31"/>
      <c r="X5" s="32"/>
      <c r="Y5" s="33"/>
    </row>
    <row r="6" spans="1:25" ht="12.75" thickBot="1" x14ac:dyDescent="0.25">
      <c r="A6" s="24"/>
      <c r="B6" s="34"/>
      <c r="C6" s="34">
        <v>37</v>
      </c>
      <c r="D6" s="38"/>
      <c r="E6" s="39"/>
      <c r="F6" s="39"/>
      <c r="G6" s="39"/>
      <c r="H6" s="39"/>
      <c r="I6" s="39"/>
      <c r="J6" s="37">
        <f t="shared" si="0"/>
        <v>0</v>
      </c>
      <c r="L6" s="38"/>
      <c r="M6" s="39"/>
      <c r="N6" s="39"/>
      <c r="O6" s="39"/>
      <c r="P6" s="39"/>
      <c r="Q6" s="39"/>
      <c r="R6" s="40">
        <f t="shared" si="1"/>
        <v>0</v>
      </c>
      <c r="S6" s="20"/>
      <c r="T6" s="41"/>
      <c r="U6" s="42"/>
      <c r="V6" s="43"/>
      <c r="W6" s="41"/>
      <c r="X6" s="42"/>
      <c r="Y6" s="43"/>
    </row>
    <row r="7" spans="1:25" x14ac:dyDescent="0.2">
      <c r="A7" s="24"/>
      <c r="B7" s="13" t="s">
        <v>5</v>
      </c>
      <c r="C7" s="13">
        <v>22</v>
      </c>
      <c r="D7" s="17"/>
      <c r="E7" s="18"/>
      <c r="F7" s="18"/>
      <c r="G7" s="18"/>
      <c r="H7" s="18"/>
      <c r="I7" s="18"/>
      <c r="J7" s="16">
        <f t="shared" si="0"/>
        <v>0</v>
      </c>
      <c r="L7" s="17"/>
      <c r="M7" s="18"/>
      <c r="N7" s="18"/>
      <c r="O7" s="18"/>
      <c r="P7" s="18"/>
      <c r="Q7" s="18"/>
      <c r="R7" s="19">
        <f t="shared" si="1"/>
        <v>0</v>
      </c>
      <c r="S7" s="20"/>
      <c r="T7" s="21" t="e">
        <f>bdrate($D7:$D10,E7:E10,$L7:$L10,M7:M10)</f>
        <v>#VALUE!</v>
      </c>
      <c r="U7" s="22" t="e">
        <f>bdrate($D7:$D10,F7:F10,$L7:$L10,N7:N10)</f>
        <v>#VALUE!</v>
      </c>
      <c r="V7" s="22" t="e">
        <f>bdrate($D7:$D10,G7:G10,$L7:$L10,O7:O10)</f>
        <v>#VALUE!</v>
      </c>
      <c r="W7" s="44" t="e">
        <f>bdrateOld($D7:$D10,E7:E10,$L7:$L10,M7:M10)</f>
        <v>#VALUE!</v>
      </c>
      <c r="X7" s="45" t="e">
        <f>bdrateOld($D7:$D10,F7:F10,$L7:$L10,N7:N10)</f>
        <v>#VALUE!</v>
      </c>
      <c r="Y7" s="46" t="e">
        <f>bdrateOld($D7:$D10,G7:G10,$L7:$L10,O7:O10)</f>
        <v>#VALUE!</v>
      </c>
    </row>
    <row r="8" spans="1:25" x14ac:dyDescent="0.2">
      <c r="A8" s="24"/>
      <c r="B8" s="24"/>
      <c r="C8" s="24">
        <v>27</v>
      </c>
      <c r="D8" s="28"/>
      <c r="E8" s="29"/>
      <c r="F8" s="29"/>
      <c r="G8" s="29"/>
      <c r="H8" s="29"/>
      <c r="I8" s="29"/>
      <c r="J8" s="27">
        <f t="shared" si="0"/>
        <v>0</v>
      </c>
      <c r="L8" s="28"/>
      <c r="M8" s="29"/>
      <c r="N8" s="29"/>
      <c r="O8" s="29"/>
      <c r="P8" s="29"/>
      <c r="Q8" s="29"/>
      <c r="R8" s="30">
        <f t="shared" si="1"/>
        <v>0</v>
      </c>
      <c r="S8" s="20"/>
      <c r="T8" s="31"/>
      <c r="U8" s="32"/>
      <c r="V8" s="32"/>
      <c r="W8" s="31"/>
      <c r="X8" s="32"/>
      <c r="Y8" s="33"/>
    </row>
    <row r="9" spans="1:25" x14ac:dyDescent="0.2">
      <c r="A9" s="24"/>
      <c r="B9" s="24"/>
      <c r="C9" s="24">
        <v>32</v>
      </c>
      <c r="D9" s="28"/>
      <c r="E9" s="29"/>
      <c r="F9" s="29"/>
      <c r="G9" s="29"/>
      <c r="H9" s="29"/>
      <c r="I9" s="29"/>
      <c r="J9" s="27">
        <f t="shared" si="0"/>
        <v>0</v>
      </c>
      <c r="L9" s="28"/>
      <c r="M9" s="29"/>
      <c r="N9" s="29"/>
      <c r="O9" s="29"/>
      <c r="P9" s="29"/>
      <c r="Q9" s="29"/>
      <c r="R9" s="30">
        <f t="shared" si="1"/>
        <v>0</v>
      </c>
      <c r="S9" s="20"/>
      <c r="T9" s="31"/>
      <c r="U9" s="47"/>
      <c r="V9" s="32"/>
      <c r="W9" s="31"/>
      <c r="X9" s="32"/>
      <c r="Y9" s="33"/>
    </row>
    <row r="10" spans="1:25" ht="12.75" thickBot="1" x14ac:dyDescent="0.25">
      <c r="A10" s="24"/>
      <c r="B10" s="34"/>
      <c r="C10" s="34">
        <v>37</v>
      </c>
      <c r="D10" s="38"/>
      <c r="E10" s="39"/>
      <c r="F10" s="39"/>
      <c r="G10" s="39"/>
      <c r="H10" s="39"/>
      <c r="I10" s="39"/>
      <c r="J10" s="37">
        <f t="shared" si="0"/>
        <v>0</v>
      </c>
      <c r="L10" s="38"/>
      <c r="M10" s="39"/>
      <c r="N10" s="39"/>
      <c r="O10" s="39"/>
      <c r="P10" s="39"/>
      <c r="Q10" s="39"/>
      <c r="R10" s="40">
        <f t="shared" si="1"/>
        <v>0</v>
      </c>
      <c r="S10" s="20"/>
      <c r="T10" s="41"/>
      <c r="U10" s="42"/>
      <c r="V10" s="42"/>
      <c r="W10" s="41"/>
      <c r="X10" s="42"/>
      <c r="Y10" s="43"/>
    </row>
    <row r="11" spans="1:25" x14ac:dyDescent="0.2">
      <c r="A11" s="118"/>
      <c r="B11" s="117" t="s">
        <v>0</v>
      </c>
      <c r="C11" s="117">
        <v>22</v>
      </c>
      <c r="D11" s="17"/>
      <c r="E11" s="18"/>
      <c r="F11" s="18"/>
      <c r="G11" s="18"/>
      <c r="H11" s="18"/>
      <c r="I11" s="18"/>
      <c r="J11" s="16">
        <f t="shared" si="0"/>
        <v>0</v>
      </c>
      <c r="L11" s="17"/>
      <c r="M11" s="18"/>
      <c r="N11" s="18"/>
      <c r="O11" s="18"/>
      <c r="P11" s="18"/>
      <c r="Q11" s="18"/>
      <c r="R11" s="19">
        <f t="shared" si="1"/>
        <v>0</v>
      </c>
      <c r="S11" s="20"/>
      <c r="T11" s="21" t="e">
        <f>bdrate($D11:$D14,E11:E14,$L11:$L14,M11:M14)</f>
        <v>#VALUE!</v>
      </c>
      <c r="U11" s="22" t="e">
        <f>bdrate($D11:$D14,F11:F14,$L11:$L14,N11:N14)</f>
        <v>#VALUE!</v>
      </c>
      <c r="V11" s="22" t="e">
        <f>bdrate($D11:$D14,G11:G14,$L11:$L14,O11:O14)</f>
        <v>#VALUE!</v>
      </c>
      <c r="W11" s="44" t="e">
        <f>bdrateOld($D11:$D14,E11:E14,$L11:$L14,M11:M14)</f>
        <v>#VALUE!</v>
      </c>
      <c r="X11" s="45" t="e">
        <f>bdrateOld($D11:$D14,F11:F14,$L11:$L14,N11:N14)</f>
        <v>#VALUE!</v>
      </c>
      <c r="Y11" s="46" t="e">
        <f>bdrateOld($D11:$D14,G11:G14,$L11:$L14,O11:O14)</f>
        <v>#VALUE!</v>
      </c>
    </row>
    <row r="12" spans="1:25" x14ac:dyDescent="0.2">
      <c r="A12" s="118"/>
      <c r="B12" s="118"/>
      <c r="C12" s="118">
        <v>27</v>
      </c>
      <c r="D12" s="28"/>
      <c r="E12" s="29"/>
      <c r="F12" s="29"/>
      <c r="G12" s="29"/>
      <c r="H12" s="29"/>
      <c r="I12" s="29"/>
      <c r="J12" s="27">
        <f t="shared" si="0"/>
        <v>0</v>
      </c>
      <c r="L12" s="28"/>
      <c r="M12" s="29"/>
      <c r="N12" s="29"/>
      <c r="O12" s="29"/>
      <c r="P12" s="29"/>
      <c r="Q12" s="29"/>
      <c r="R12" s="30">
        <f t="shared" si="1"/>
        <v>0</v>
      </c>
      <c r="S12" s="20"/>
      <c r="T12" s="31"/>
      <c r="U12" s="32"/>
      <c r="V12" s="32"/>
      <c r="W12" s="31"/>
      <c r="X12" s="32"/>
      <c r="Y12" s="33"/>
    </row>
    <row r="13" spans="1:25" x14ac:dyDescent="0.2">
      <c r="A13" s="118"/>
      <c r="B13" s="118"/>
      <c r="C13" s="118">
        <v>32</v>
      </c>
      <c r="D13" s="28"/>
      <c r="E13" s="29"/>
      <c r="F13" s="29"/>
      <c r="G13" s="29"/>
      <c r="H13" s="29"/>
      <c r="I13" s="29"/>
      <c r="J13" s="27">
        <f t="shared" si="0"/>
        <v>0</v>
      </c>
      <c r="L13" s="28"/>
      <c r="M13" s="29"/>
      <c r="N13" s="29"/>
      <c r="O13" s="29"/>
      <c r="P13" s="29"/>
      <c r="Q13" s="29"/>
      <c r="R13" s="30">
        <f t="shared" si="1"/>
        <v>0</v>
      </c>
      <c r="S13" s="20"/>
      <c r="T13" s="31"/>
      <c r="U13" s="32"/>
      <c r="V13" s="32"/>
      <c r="W13" s="31"/>
      <c r="X13" s="32"/>
      <c r="Y13" s="33"/>
    </row>
    <row r="14" spans="1:25" ht="12.75" thickBot="1" x14ac:dyDescent="0.25">
      <c r="A14" s="118"/>
      <c r="B14" s="119"/>
      <c r="C14" s="119">
        <v>37</v>
      </c>
      <c r="D14" s="38"/>
      <c r="E14" s="39"/>
      <c r="F14" s="39"/>
      <c r="G14" s="39"/>
      <c r="H14" s="39"/>
      <c r="I14" s="39"/>
      <c r="J14" s="37">
        <f t="shared" si="0"/>
        <v>0</v>
      </c>
      <c r="L14" s="38"/>
      <c r="M14" s="39"/>
      <c r="N14" s="39"/>
      <c r="O14" s="39"/>
      <c r="P14" s="39"/>
      <c r="Q14" s="39"/>
      <c r="R14" s="40">
        <f t="shared" si="1"/>
        <v>0</v>
      </c>
      <c r="S14" s="20"/>
      <c r="T14" s="41"/>
      <c r="U14" s="42"/>
      <c r="V14" s="42"/>
      <c r="W14" s="41"/>
      <c r="X14" s="42"/>
      <c r="Y14" s="43"/>
    </row>
    <row r="15" spans="1:25" x14ac:dyDescent="0.2">
      <c r="A15" s="118"/>
      <c r="B15" s="117" t="s">
        <v>6</v>
      </c>
      <c r="C15" s="117">
        <v>22</v>
      </c>
      <c r="D15" s="17"/>
      <c r="E15" s="18"/>
      <c r="F15" s="18"/>
      <c r="G15" s="18"/>
      <c r="H15" s="18"/>
      <c r="I15" s="18"/>
      <c r="J15" s="16">
        <f t="shared" si="0"/>
        <v>0</v>
      </c>
      <c r="L15" s="17"/>
      <c r="M15" s="18"/>
      <c r="N15" s="18"/>
      <c r="O15" s="18"/>
      <c r="P15" s="18"/>
      <c r="Q15" s="18"/>
      <c r="R15" s="19">
        <f t="shared" si="1"/>
        <v>0</v>
      </c>
      <c r="S15" s="20"/>
      <c r="T15" s="21" t="e">
        <f>bdrate($D15:$D18,E15:E18,$L15:$L18,M15:M18)</f>
        <v>#VALUE!</v>
      </c>
      <c r="U15" s="22" t="e">
        <f>bdrate($D15:$D18,F15:F18,$L15:$L18,N15:N18)</f>
        <v>#VALUE!</v>
      </c>
      <c r="V15" s="22" t="e">
        <f>bdrate($D15:$D18,G15:G18,$L15:$L18,O15:O18)</f>
        <v>#VALUE!</v>
      </c>
      <c r="W15" s="44" t="e">
        <f>bdrateOld($D15:$D18,E15:E18,$L15:$L18,M15:M18)</f>
        <v>#VALUE!</v>
      </c>
      <c r="X15" s="45" t="e">
        <f>bdrateOld($D15:$D18,F15:F18,$L15:$L18,N15:N18)</f>
        <v>#VALUE!</v>
      </c>
      <c r="Y15" s="46" t="e">
        <f>bdrateOld($D15:$D18,G15:G18,$L15:$L18,O15:O18)</f>
        <v>#VALUE!</v>
      </c>
    </row>
    <row r="16" spans="1:25" x14ac:dyDescent="0.2">
      <c r="A16" s="118"/>
      <c r="B16" s="118"/>
      <c r="C16" s="118">
        <v>27</v>
      </c>
      <c r="D16" s="28"/>
      <c r="E16" s="29"/>
      <c r="F16" s="29"/>
      <c r="G16" s="29"/>
      <c r="H16" s="29"/>
      <c r="I16" s="29"/>
      <c r="J16" s="27">
        <f t="shared" si="0"/>
        <v>0</v>
      </c>
      <c r="L16" s="28"/>
      <c r="M16" s="29"/>
      <c r="N16" s="29"/>
      <c r="O16" s="29"/>
      <c r="P16" s="29"/>
      <c r="Q16" s="29"/>
      <c r="R16" s="30">
        <f t="shared" si="1"/>
        <v>0</v>
      </c>
      <c r="S16" s="20"/>
      <c r="T16" s="31"/>
      <c r="U16" s="32"/>
      <c r="V16" s="32"/>
      <c r="W16" s="31"/>
      <c r="X16" s="32"/>
      <c r="Y16" s="33"/>
    </row>
    <row r="17" spans="1:25" x14ac:dyDescent="0.2">
      <c r="A17" s="118"/>
      <c r="B17" s="118"/>
      <c r="C17" s="118">
        <v>32</v>
      </c>
      <c r="D17" s="28"/>
      <c r="E17" s="29"/>
      <c r="F17" s="29"/>
      <c r="G17" s="29"/>
      <c r="H17" s="29"/>
      <c r="I17" s="29"/>
      <c r="J17" s="27">
        <f t="shared" si="0"/>
        <v>0</v>
      </c>
      <c r="L17" s="28"/>
      <c r="M17" s="29"/>
      <c r="N17" s="29"/>
      <c r="O17" s="29"/>
      <c r="P17" s="29"/>
      <c r="Q17" s="29"/>
      <c r="R17" s="30">
        <f t="shared" si="1"/>
        <v>0</v>
      </c>
      <c r="S17" s="20"/>
      <c r="T17" s="31"/>
      <c r="U17" s="32"/>
      <c r="V17" s="32"/>
      <c r="W17" s="31"/>
      <c r="X17" s="32"/>
      <c r="Y17" s="33"/>
    </row>
    <row r="18" spans="1:25" ht="12.75" thickBot="1" x14ac:dyDescent="0.25">
      <c r="A18" s="119"/>
      <c r="B18" s="119"/>
      <c r="C18" s="119">
        <v>37</v>
      </c>
      <c r="D18" s="38"/>
      <c r="E18" s="39"/>
      <c r="F18" s="39"/>
      <c r="G18" s="39"/>
      <c r="H18" s="39"/>
      <c r="I18" s="39"/>
      <c r="J18" s="37">
        <f t="shared" si="0"/>
        <v>0</v>
      </c>
      <c r="L18" s="38"/>
      <c r="M18" s="39"/>
      <c r="N18" s="39"/>
      <c r="O18" s="39"/>
      <c r="P18" s="39"/>
      <c r="Q18" s="39"/>
      <c r="R18" s="40">
        <f t="shared" si="1"/>
        <v>0</v>
      </c>
      <c r="S18" s="20"/>
      <c r="T18" s="41"/>
      <c r="U18" s="42"/>
      <c r="V18" s="42"/>
      <c r="W18" s="41"/>
      <c r="X18" s="42"/>
      <c r="Y18" s="43"/>
    </row>
    <row r="19" spans="1:25" x14ac:dyDescent="0.2">
      <c r="A19" s="13" t="s">
        <v>7</v>
      </c>
      <c r="B19" s="13" t="s">
        <v>8</v>
      </c>
      <c r="C19" s="13">
        <v>22</v>
      </c>
      <c r="D19" s="14"/>
      <c r="E19" s="15"/>
      <c r="F19" s="15"/>
      <c r="G19" s="15"/>
      <c r="H19" s="15"/>
      <c r="I19" s="15"/>
      <c r="J19" s="16">
        <f t="shared" si="0"/>
        <v>0</v>
      </c>
      <c r="L19" s="14"/>
      <c r="M19" s="15"/>
      <c r="N19" s="15"/>
      <c r="O19" s="15"/>
      <c r="P19" s="15"/>
      <c r="Q19" s="15"/>
      <c r="R19" s="16">
        <f t="shared" si="1"/>
        <v>0</v>
      </c>
      <c r="S19" s="20"/>
      <c r="T19" s="21" t="e">
        <f>bdrate($D19:$D22,E19:E22,$L19:$L22,M19:M22)</f>
        <v>#VALUE!</v>
      </c>
      <c r="U19" s="22" t="e">
        <f>bdrate($D19:$D22,F19:F22,$L19:$L22,N19:N22)</f>
        <v>#VALUE!</v>
      </c>
      <c r="V19" s="22" t="e">
        <f>bdrate($D19:$D22,G19:G22,$L19:$L22,O19:O22)</f>
        <v>#VALUE!</v>
      </c>
      <c r="W19" s="44" t="e">
        <f>bdrateOld($D19:$D22,E19:E22,$L19:$L22,M19:M22)</f>
        <v>#VALUE!</v>
      </c>
      <c r="X19" s="45" t="e">
        <f>bdrateOld($D19:$D22,F19:F22,$L19:$L22,N19:N22)</f>
        <v>#VALUE!</v>
      </c>
      <c r="Y19" s="46" t="e">
        <f>bdrateOld($D19:$D22,G19:G22,$L19:$L22,O19:O22)</f>
        <v>#VALUE!</v>
      </c>
    </row>
    <row r="20" spans="1:25" x14ac:dyDescent="0.2">
      <c r="A20" s="24" t="s">
        <v>9</v>
      </c>
      <c r="B20" s="24"/>
      <c r="C20" s="24">
        <v>27</v>
      </c>
      <c r="D20" s="25"/>
      <c r="E20" s="26"/>
      <c r="F20" s="26"/>
      <c r="G20" s="26"/>
      <c r="H20" s="26"/>
      <c r="I20" s="26"/>
      <c r="J20" s="27">
        <f t="shared" si="0"/>
        <v>0</v>
      </c>
      <c r="L20" s="25"/>
      <c r="M20" s="26"/>
      <c r="N20" s="26"/>
      <c r="O20" s="26"/>
      <c r="P20" s="26"/>
      <c r="Q20" s="26"/>
      <c r="R20" s="27">
        <f t="shared" si="1"/>
        <v>0</v>
      </c>
      <c r="S20" s="20"/>
      <c r="T20" s="31"/>
      <c r="U20" s="32"/>
      <c r="V20" s="32"/>
      <c r="W20" s="31"/>
      <c r="X20" s="32"/>
      <c r="Y20" s="33"/>
    </row>
    <row r="21" spans="1:25" x14ac:dyDescent="0.2">
      <c r="A21" s="24"/>
      <c r="B21" s="24"/>
      <c r="C21" s="24">
        <v>32</v>
      </c>
      <c r="D21" s="25"/>
      <c r="E21" s="26"/>
      <c r="F21" s="26"/>
      <c r="G21" s="26"/>
      <c r="H21" s="26"/>
      <c r="I21" s="26"/>
      <c r="J21" s="27">
        <f t="shared" si="0"/>
        <v>0</v>
      </c>
      <c r="L21" s="25"/>
      <c r="M21" s="26"/>
      <c r="N21" s="26"/>
      <c r="O21" s="26"/>
      <c r="P21" s="26"/>
      <c r="Q21" s="26"/>
      <c r="R21" s="27">
        <f t="shared" si="1"/>
        <v>0</v>
      </c>
      <c r="S21" s="20"/>
      <c r="T21" s="31"/>
      <c r="U21" s="32"/>
      <c r="V21" s="32"/>
      <c r="W21" s="31"/>
      <c r="X21" s="32"/>
      <c r="Y21" s="33"/>
    </row>
    <row r="22" spans="1:25" ht="12.75" thickBot="1" x14ac:dyDescent="0.25">
      <c r="A22" s="24"/>
      <c r="B22" s="34"/>
      <c r="C22" s="34">
        <v>37</v>
      </c>
      <c r="D22" s="35"/>
      <c r="E22" s="36"/>
      <c r="F22" s="36"/>
      <c r="G22" s="36"/>
      <c r="H22" s="36"/>
      <c r="I22" s="36"/>
      <c r="J22" s="37">
        <f t="shared" si="0"/>
        <v>0</v>
      </c>
      <c r="L22" s="35"/>
      <c r="M22" s="36"/>
      <c r="N22" s="36"/>
      <c r="O22" s="36"/>
      <c r="P22" s="36"/>
      <c r="Q22" s="36"/>
      <c r="R22" s="37">
        <f t="shared" si="1"/>
        <v>0</v>
      </c>
      <c r="S22" s="20"/>
      <c r="T22" s="41"/>
      <c r="U22" s="42"/>
      <c r="V22" s="42"/>
      <c r="W22" s="41"/>
      <c r="X22" s="42"/>
      <c r="Y22" s="43"/>
    </row>
    <row r="23" spans="1:25" x14ac:dyDescent="0.2">
      <c r="A23" s="24"/>
      <c r="B23" s="13" t="s">
        <v>10</v>
      </c>
      <c r="C23" s="13">
        <v>22</v>
      </c>
      <c r="D23" s="14"/>
      <c r="E23" s="15"/>
      <c r="F23" s="15"/>
      <c r="G23" s="15"/>
      <c r="H23" s="15"/>
      <c r="I23" s="15"/>
      <c r="J23" s="16">
        <f t="shared" si="0"/>
        <v>0</v>
      </c>
      <c r="L23" s="14"/>
      <c r="M23" s="15"/>
      <c r="N23" s="15"/>
      <c r="O23" s="15"/>
      <c r="P23" s="15"/>
      <c r="Q23" s="15"/>
      <c r="R23" s="16">
        <f t="shared" si="1"/>
        <v>0</v>
      </c>
      <c r="S23" s="20"/>
      <c r="T23" s="21" t="e">
        <f>bdrate($D23:$D26,E23:E26,$L23:$L26,M23:M26)</f>
        <v>#VALUE!</v>
      </c>
      <c r="U23" s="22" t="e">
        <f>bdrate($D23:$D26,F23:F26,$L23:$L26,N23:N26)</f>
        <v>#VALUE!</v>
      </c>
      <c r="V23" s="22" t="e">
        <f>bdrate($D23:$D26,G23:G26,$L23:$L26,O23:O26)</f>
        <v>#VALUE!</v>
      </c>
      <c r="W23" s="44" t="e">
        <f>bdrateOld($D23:$D26,E23:E26,$L23:$L26,M23:M26)</f>
        <v>#VALUE!</v>
      </c>
      <c r="X23" s="45" t="e">
        <f>bdrateOld($D23:$D26,F23:F26,$L23:$L26,N23:N26)</f>
        <v>#VALUE!</v>
      </c>
      <c r="Y23" s="46" t="e">
        <f>bdrateOld($D23:$D26,G23:G26,$L23:$L26,O23:O26)</f>
        <v>#VALUE!</v>
      </c>
    </row>
    <row r="24" spans="1:25" x14ac:dyDescent="0.2">
      <c r="A24" s="24"/>
      <c r="B24" s="24"/>
      <c r="C24" s="24">
        <v>27</v>
      </c>
      <c r="D24" s="25"/>
      <c r="E24" s="26"/>
      <c r="F24" s="26"/>
      <c r="G24" s="26"/>
      <c r="H24" s="26"/>
      <c r="I24" s="26"/>
      <c r="J24" s="27">
        <f t="shared" si="0"/>
        <v>0</v>
      </c>
      <c r="L24" s="25"/>
      <c r="M24" s="26"/>
      <c r="N24" s="26"/>
      <c r="O24" s="26"/>
      <c r="P24" s="26"/>
      <c r="Q24" s="26"/>
      <c r="R24" s="27">
        <f t="shared" si="1"/>
        <v>0</v>
      </c>
      <c r="S24" s="20"/>
      <c r="T24" s="31"/>
      <c r="U24" s="32"/>
      <c r="V24" s="32"/>
      <c r="W24" s="31"/>
      <c r="X24" s="32"/>
      <c r="Y24" s="33"/>
    </row>
    <row r="25" spans="1:25" x14ac:dyDescent="0.2">
      <c r="A25" s="24"/>
      <c r="B25" s="24"/>
      <c r="C25" s="24">
        <v>32</v>
      </c>
      <c r="D25" s="25"/>
      <c r="E25" s="26"/>
      <c r="F25" s="26"/>
      <c r="G25" s="26"/>
      <c r="H25" s="26"/>
      <c r="I25" s="26"/>
      <c r="J25" s="27">
        <f t="shared" si="0"/>
        <v>0</v>
      </c>
      <c r="L25" s="25"/>
      <c r="M25" s="26"/>
      <c r="N25" s="26"/>
      <c r="O25" s="26"/>
      <c r="P25" s="26"/>
      <c r="Q25" s="26"/>
      <c r="R25" s="27">
        <f t="shared" si="1"/>
        <v>0</v>
      </c>
      <c r="S25" s="20"/>
      <c r="T25" s="31"/>
      <c r="U25" s="32"/>
      <c r="V25" s="32"/>
      <c r="W25" s="31"/>
      <c r="X25" s="32"/>
      <c r="Y25" s="33"/>
    </row>
    <row r="26" spans="1:25" ht="12.75" thickBot="1" x14ac:dyDescent="0.25">
      <c r="A26" s="24"/>
      <c r="B26" s="34"/>
      <c r="C26" s="34">
        <v>37</v>
      </c>
      <c r="D26" s="35"/>
      <c r="E26" s="36"/>
      <c r="F26" s="36"/>
      <c r="G26" s="36"/>
      <c r="H26" s="36"/>
      <c r="I26" s="36"/>
      <c r="J26" s="37">
        <f t="shared" si="0"/>
        <v>0</v>
      </c>
      <c r="L26" s="35"/>
      <c r="M26" s="36"/>
      <c r="N26" s="36"/>
      <c r="O26" s="36"/>
      <c r="P26" s="36"/>
      <c r="Q26" s="36"/>
      <c r="R26" s="37">
        <f t="shared" si="1"/>
        <v>0</v>
      </c>
      <c r="S26" s="20"/>
      <c r="T26" s="41"/>
      <c r="U26" s="42"/>
      <c r="V26" s="42"/>
      <c r="W26" s="41"/>
      <c r="X26" s="42"/>
      <c r="Y26" s="43"/>
    </row>
    <row r="27" spans="1:25" x14ac:dyDescent="0.2">
      <c r="A27" s="24"/>
      <c r="B27" s="13" t="s">
        <v>11</v>
      </c>
      <c r="C27" s="13">
        <v>22</v>
      </c>
      <c r="D27" s="14"/>
      <c r="E27" s="15"/>
      <c r="F27" s="15"/>
      <c r="G27" s="15"/>
      <c r="H27" s="15"/>
      <c r="I27" s="15"/>
      <c r="J27" s="16">
        <f t="shared" si="0"/>
        <v>0</v>
      </c>
      <c r="L27" s="14"/>
      <c r="M27" s="15"/>
      <c r="N27" s="15"/>
      <c r="O27" s="15"/>
      <c r="P27" s="15"/>
      <c r="Q27" s="15"/>
      <c r="R27" s="16">
        <f t="shared" si="1"/>
        <v>0</v>
      </c>
      <c r="S27" s="20"/>
      <c r="T27" s="21" t="e">
        <f>bdrate($D27:$D30,E27:E30,$L27:$L30,M27:M30)</f>
        <v>#VALUE!</v>
      </c>
      <c r="U27" s="22" t="e">
        <f>bdrate($D27:$D30,F27:F30,$L27:$L30,N27:N30)</f>
        <v>#VALUE!</v>
      </c>
      <c r="V27" s="22" t="e">
        <f>bdrate($D27:$D30,G27:G30,$L27:$L30,O27:O30)</f>
        <v>#VALUE!</v>
      </c>
      <c r="W27" s="44" t="e">
        <f>bdrateOld($D27:$D30,E27:E30,$L27:$L30,M27:M30)</f>
        <v>#VALUE!</v>
      </c>
      <c r="X27" s="45" t="e">
        <f>bdrateOld($D27:$D30,F27:F30,$L27:$L30,N27:N30)</f>
        <v>#VALUE!</v>
      </c>
      <c r="Y27" s="46" t="e">
        <f>bdrateOld($D27:$D30,G27:G30,$L27:$L30,O27:O30)</f>
        <v>#VALUE!</v>
      </c>
    </row>
    <row r="28" spans="1:25" x14ac:dyDescent="0.2">
      <c r="A28" s="24"/>
      <c r="B28" s="24"/>
      <c r="C28" s="24">
        <v>27</v>
      </c>
      <c r="D28" s="25"/>
      <c r="E28" s="26"/>
      <c r="F28" s="26"/>
      <c r="G28" s="26"/>
      <c r="H28" s="26"/>
      <c r="I28" s="26"/>
      <c r="J28" s="27">
        <f t="shared" si="0"/>
        <v>0</v>
      </c>
      <c r="L28" s="25"/>
      <c r="M28" s="26"/>
      <c r="N28" s="26"/>
      <c r="O28" s="26"/>
      <c r="P28" s="26"/>
      <c r="Q28" s="26"/>
      <c r="R28" s="27">
        <f t="shared" si="1"/>
        <v>0</v>
      </c>
      <c r="S28" s="20"/>
      <c r="T28" s="31"/>
      <c r="U28" s="32"/>
      <c r="V28" s="32"/>
      <c r="W28" s="31"/>
      <c r="X28" s="32"/>
      <c r="Y28" s="33"/>
    </row>
    <row r="29" spans="1:25" x14ac:dyDescent="0.2">
      <c r="A29" s="24"/>
      <c r="B29" s="24"/>
      <c r="C29" s="24">
        <v>32</v>
      </c>
      <c r="D29" s="25"/>
      <c r="E29" s="26"/>
      <c r="F29" s="26"/>
      <c r="G29" s="26"/>
      <c r="H29" s="26"/>
      <c r="I29" s="26"/>
      <c r="J29" s="27">
        <f t="shared" si="0"/>
        <v>0</v>
      </c>
      <c r="L29" s="25"/>
      <c r="M29" s="26"/>
      <c r="N29" s="26"/>
      <c r="O29" s="26"/>
      <c r="P29" s="26"/>
      <c r="Q29" s="26"/>
      <c r="R29" s="27">
        <f t="shared" si="1"/>
        <v>0</v>
      </c>
      <c r="S29" s="20"/>
      <c r="T29" s="31"/>
      <c r="U29" s="32"/>
      <c r="V29" s="32"/>
      <c r="W29" s="31"/>
      <c r="X29" s="32"/>
      <c r="Y29" s="33"/>
    </row>
    <row r="30" spans="1:25" ht="12.75" thickBot="1" x14ac:dyDescent="0.25">
      <c r="A30" s="24"/>
      <c r="B30" s="34"/>
      <c r="C30" s="34">
        <v>37</v>
      </c>
      <c r="D30" s="35"/>
      <c r="E30" s="36"/>
      <c r="F30" s="36"/>
      <c r="G30" s="36"/>
      <c r="H30" s="36"/>
      <c r="I30" s="36"/>
      <c r="J30" s="37">
        <f t="shared" si="0"/>
        <v>0</v>
      </c>
      <c r="L30" s="35"/>
      <c r="M30" s="36"/>
      <c r="N30" s="36"/>
      <c r="O30" s="36"/>
      <c r="P30" s="36"/>
      <c r="Q30" s="36"/>
      <c r="R30" s="37">
        <f t="shared" si="1"/>
        <v>0</v>
      </c>
      <c r="S30" s="20"/>
      <c r="T30" s="41"/>
      <c r="U30" s="42"/>
      <c r="V30" s="42"/>
      <c r="W30" s="41"/>
      <c r="X30" s="42"/>
      <c r="Y30" s="43"/>
    </row>
    <row r="31" spans="1:25" x14ac:dyDescent="0.2">
      <c r="A31" s="24"/>
      <c r="B31" s="13" t="s">
        <v>12</v>
      </c>
      <c r="C31" s="13">
        <v>22</v>
      </c>
      <c r="D31" s="14"/>
      <c r="E31" s="15"/>
      <c r="F31" s="15"/>
      <c r="G31" s="15"/>
      <c r="H31" s="15"/>
      <c r="I31" s="15"/>
      <c r="J31" s="16">
        <f t="shared" si="0"/>
        <v>0</v>
      </c>
      <c r="L31" s="14"/>
      <c r="M31" s="15"/>
      <c r="N31" s="15"/>
      <c r="O31" s="15"/>
      <c r="P31" s="15"/>
      <c r="Q31" s="15"/>
      <c r="R31" s="16">
        <f t="shared" si="1"/>
        <v>0</v>
      </c>
      <c r="S31" s="20"/>
      <c r="T31" s="21" t="e">
        <f>bdrate($D31:$D34,E31:E34,$L31:$L34,M31:M34)</f>
        <v>#VALUE!</v>
      </c>
      <c r="U31" s="22" t="e">
        <f>bdrate($D31:$D34,F31:F34,$L31:$L34,N31:N34)</f>
        <v>#VALUE!</v>
      </c>
      <c r="V31" s="22" t="e">
        <f>bdrate($D31:$D34,G31:G34,$L31:$L34,O31:O34)</f>
        <v>#VALUE!</v>
      </c>
      <c r="W31" s="44" t="e">
        <f>bdrateOld($D31:$D34,E31:E34,$L31:$L34,M31:M34)</f>
        <v>#VALUE!</v>
      </c>
      <c r="X31" s="45" t="e">
        <f>bdrateOld($D31:$D34,F31:F34,$L31:$L34,N31:N34)</f>
        <v>#VALUE!</v>
      </c>
      <c r="Y31" s="46" t="e">
        <f>bdrateOld($D31:$D34,G31:G34,$L31:$L34,O31:O34)</f>
        <v>#VALUE!</v>
      </c>
    </row>
    <row r="32" spans="1:25" x14ac:dyDescent="0.2">
      <c r="A32" s="24"/>
      <c r="B32" s="24"/>
      <c r="C32" s="24">
        <v>27</v>
      </c>
      <c r="D32" s="25"/>
      <c r="E32" s="26"/>
      <c r="F32" s="26"/>
      <c r="G32" s="26"/>
      <c r="H32" s="26"/>
      <c r="I32" s="26"/>
      <c r="J32" s="27">
        <f t="shared" si="0"/>
        <v>0</v>
      </c>
      <c r="L32" s="25"/>
      <c r="M32" s="26"/>
      <c r="N32" s="26"/>
      <c r="O32" s="26"/>
      <c r="P32" s="26"/>
      <c r="Q32" s="26"/>
      <c r="R32" s="27">
        <f t="shared" si="1"/>
        <v>0</v>
      </c>
      <c r="S32" s="20"/>
      <c r="T32" s="31"/>
      <c r="U32" s="32"/>
      <c r="V32" s="32"/>
      <c r="W32" s="31"/>
      <c r="X32" s="32"/>
      <c r="Y32" s="33"/>
    </row>
    <row r="33" spans="1:25" x14ac:dyDescent="0.2">
      <c r="A33" s="24"/>
      <c r="B33" s="24"/>
      <c r="C33" s="24">
        <v>32</v>
      </c>
      <c r="D33" s="25"/>
      <c r="E33" s="26"/>
      <c r="F33" s="26"/>
      <c r="G33" s="26"/>
      <c r="H33" s="26"/>
      <c r="I33" s="26"/>
      <c r="J33" s="27">
        <f t="shared" si="0"/>
        <v>0</v>
      </c>
      <c r="L33" s="25"/>
      <c r="M33" s="26"/>
      <c r="N33" s="26"/>
      <c r="O33" s="26"/>
      <c r="P33" s="26"/>
      <c r="Q33" s="26"/>
      <c r="R33" s="27">
        <f t="shared" si="1"/>
        <v>0</v>
      </c>
      <c r="S33" s="20"/>
      <c r="T33" s="31"/>
      <c r="U33" s="32"/>
      <c r="V33" s="32"/>
      <c r="W33" s="31"/>
      <c r="X33" s="32"/>
      <c r="Y33" s="33"/>
    </row>
    <row r="34" spans="1:25" ht="12.75" thickBot="1" x14ac:dyDescent="0.25">
      <c r="A34" s="24"/>
      <c r="B34" s="34"/>
      <c r="C34" s="34">
        <v>37</v>
      </c>
      <c r="D34" s="35"/>
      <c r="E34" s="36"/>
      <c r="F34" s="36"/>
      <c r="G34" s="36"/>
      <c r="H34" s="36"/>
      <c r="I34" s="36"/>
      <c r="J34" s="37">
        <f t="shared" si="0"/>
        <v>0</v>
      </c>
      <c r="L34" s="35"/>
      <c r="M34" s="36"/>
      <c r="N34" s="36"/>
      <c r="O34" s="36"/>
      <c r="P34" s="36"/>
      <c r="Q34" s="36"/>
      <c r="R34" s="37">
        <f t="shared" si="1"/>
        <v>0</v>
      </c>
      <c r="S34" s="20"/>
      <c r="T34" s="41"/>
      <c r="U34" s="42"/>
      <c r="V34" s="42"/>
      <c r="W34" s="41"/>
      <c r="X34" s="42"/>
      <c r="Y34" s="43"/>
    </row>
    <row r="35" spans="1:25" x14ac:dyDescent="0.2">
      <c r="A35" s="24"/>
      <c r="B35" s="13" t="s">
        <v>13</v>
      </c>
      <c r="C35" s="13">
        <v>22</v>
      </c>
      <c r="D35" s="14"/>
      <c r="E35" s="15"/>
      <c r="F35" s="15"/>
      <c r="G35" s="15"/>
      <c r="H35" s="15"/>
      <c r="I35" s="15"/>
      <c r="J35" s="16">
        <f t="shared" si="0"/>
        <v>0</v>
      </c>
      <c r="L35" s="14"/>
      <c r="M35" s="15"/>
      <c r="N35" s="15"/>
      <c r="O35" s="15"/>
      <c r="P35" s="15"/>
      <c r="Q35" s="15"/>
      <c r="R35" s="16">
        <f t="shared" si="1"/>
        <v>0</v>
      </c>
      <c r="S35" s="20"/>
      <c r="T35" s="21" t="e">
        <f>bdrate($D35:$D38,E35:E38,$L35:$L38,M35:M38)</f>
        <v>#VALUE!</v>
      </c>
      <c r="U35" s="22" t="e">
        <f>bdrate($D35:$D38,F35:F38,$L35:$L38,N35:N38)</f>
        <v>#VALUE!</v>
      </c>
      <c r="V35" s="22" t="e">
        <f>bdrate($D35:$D38,G35:G38,$L35:$L38,O35:O38)</f>
        <v>#VALUE!</v>
      </c>
      <c r="W35" s="44" t="e">
        <f>bdrateOld($D35:$D38,E35:E38,$L35:$L38,M35:M38)</f>
        <v>#VALUE!</v>
      </c>
      <c r="X35" s="45" t="e">
        <f>bdrateOld($D35:$D38,F35:F38,$L35:$L38,N35:N38)</f>
        <v>#VALUE!</v>
      </c>
      <c r="Y35" s="46" t="e">
        <f>bdrateOld($D35:$D38,G35:G38,$L35:$L38,O35:O38)</f>
        <v>#VALUE!</v>
      </c>
    </row>
    <row r="36" spans="1:25" x14ac:dyDescent="0.2">
      <c r="A36" s="24"/>
      <c r="B36" s="24"/>
      <c r="C36" s="24">
        <v>27</v>
      </c>
      <c r="D36" s="25"/>
      <c r="E36" s="26"/>
      <c r="F36" s="26"/>
      <c r="G36" s="26"/>
      <c r="H36" s="26"/>
      <c r="I36" s="26"/>
      <c r="J36" s="27">
        <f t="shared" si="0"/>
        <v>0</v>
      </c>
      <c r="L36" s="25"/>
      <c r="M36" s="26"/>
      <c r="N36" s="26"/>
      <c r="O36" s="26"/>
      <c r="P36" s="26"/>
      <c r="Q36" s="26"/>
      <c r="R36" s="27">
        <f t="shared" si="1"/>
        <v>0</v>
      </c>
      <c r="S36" s="20"/>
      <c r="T36" s="31"/>
      <c r="U36" s="32"/>
      <c r="V36" s="32"/>
      <c r="W36" s="31"/>
      <c r="X36" s="32"/>
      <c r="Y36" s="33"/>
    </row>
    <row r="37" spans="1:25" x14ac:dyDescent="0.2">
      <c r="A37" s="24"/>
      <c r="B37" s="24"/>
      <c r="C37" s="24">
        <v>32</v>
      </c>
      <c r="D37" s="25"/>
      <c r="E37" s="26"/>
      <c r="F37" s="26"/>
      <c r="G37" s="26"/>
      <c r="H37" s="26"/>
      <c r="I37" s="26"/>
      <c r="J37" s="27">
        <f t="shared" si="0"/>
        <v>0</v>
      </c>
      <c r="L37" s="25"/>
      <c r="M37" s="26"/>
      <c r="N37" s="26"/>
      <c r="O37" s="26"/>
      <c r="P37" s="26"/>
      <c r="Q37" s="26"/>
      <c r="R37" s="27">
        <f t="shared" si="1"/>
        <v>0</v>
      </c>
      <c r="S37" s="20"/>
      <c r="T37" s="31"/>
      <c r="U37" s="32"/>
      <c r="V37" s="32"/>
      <c r="W37" s="31"/>
      <c r="X37" s="32"/>
      <c r="Y37" s="33"/>
    </row>
    <row r="38" spans="1:25" ht="12.75" thickBot="1" x14ac:dyDescent="0.25">
      <c r="A38" s="34"/>
      <c r="B38" s="34"/>
      <c r="C38" s="34">
        <v>37</v>
      </c>
      <c r="D38" s="35"/>
      <c r="E38" s="36"/>
      <c r="F38" s="36"/>
      <c r="G38" s="36"/>
      <c r="H38" s="36"/>
      <c r="I38" s="36"/>
      <c r="J38" s="37">
        <f t="shared" si="0"/>
        <v>0</v>
      </c>
      <c r="L38" s="35"/>
      <c r="M38" s="36"/>
      <c r="N38" s="36"/>
      <c r="O38" s="36"/>
      <c r="P38" s="36"/>
      <c r="Q38" s="36"/>
      <c r="R38" s="37">
        <f t="shared" si="1"/>
        <v>0</v>
      </c>
      <c r="S38" s="20"/>
      <c r="T38" s="41"/>
      <c r="U38" s="42"/>
      <c r="V38" s="42"/>
      <c r="W38" s="41"/>
      <c r="X38" s="42"/>
      <c r="Y38" s="43"/>
    </row>
    <row r="39" spans="1:25" x14ac:dyDescent="0.2">
      <c r="A39" s="13" t="s">
        <v>14</v>
      </c>
      <c r="B39" s="13" t="s">
        <v>15</v>
      </c>
      <c r="C39" s="13">
        <v>22</v>
      </c>
      <c r="D39" s="14"/>
      <c r="E39" s="15"/>
      <c r="F39" s="15"/>
      <c r="G39" s="15"/>
      <c r="H39" s="15"/>
      <c r="I39" s="15"/>
      <c r="J39" s="16">
        <f t="shared" si="0"/>
        <v>0</v>
      </c>
      <c r="L39" s="14"/>
      <c r="M39" s="15"/>
      <c r="N39" s="15"/>
      <c r="O39" s="15"/>
      <c r="P39" s="15"/>
      <c r="Q39" s="15"/>
      <c r="R39" s="16">
        <f t="shared" si="1"/>
        <v>0</v>
      </c>
      <c r="S39" s="20"/>
      <c r="T39" s="21" t="e">
        <f>bdrate($D39:$D42,E39:E42,$L39:$L42,M39:M42)</f>
        <v>#VALUE!</v>
      </c>
      <c r="U39" s="22" t="e">
        <f>bdrate($D39:$D42,F39:F42,$L39:$L42,N39:N42)</f>
        <v>#VALUE!</v>
      </c>
      <c r="V39" s="22" t="e">
        <f>bdrate($D39:$D42,G39:G42,$L39:$L42,O39:O42)</f>
        <v>#VALUE!</v>
      </c>
      <c r="W39" s="44" t="e">
        <f>bdrateOld($D39:$D42,E39:E42,$L39:$L42,M39:M42)</f>
        <v>#VALUE!</v>
      </c>
      <c r="X39" s="45" t="e">
        <f>bdrateOld($D39:$D42,F39:F42,$L39:$L42,N39:N42)</f>
        <v>#VALUE!</v>
      </c>
      <c r="Y39" s="46" t="e">
        <f>bdrateOld($D39:$D42,G39:G42,$L39:$L42,O39:O42)</f>
        <v>#VALUE!</v>
      </c>
    </row>
    <row r="40" spans="1:25" x14ac:dyDescent="0.2">
      <c r="A40" s="24" t="s">
        <v>16</v>
      </c>
      <c r="B40" s="24"/>
      <c r="C40" s="24">
        <v>27</v>
      </c>
      <c r="D40" s="25"/>
      <c r="E40" s="26"/>
      <c r="F40" s="26"/>
      <c r="G40" s="26"/>
      <c r="H40" s="26"/>
      <c r="I40" s="26"/>
      <c r="J40" s="27">
        <f t="shared" si="0"/>
        <v>0</v>
      </c>
      <c r="L40" s="25"/>
      <c r="M40" s="26"/>
      <c r="N40" s="26"/>
      <c r="O40" s="26"/>
      <c r="P40" s="26"/>
      <c r="Q40" s="26"/>
      <c r="R40" s="27">
        <f t="shared" si="1"/>
        <v>0</v>
      </c>
      <c r="S40" s="20"/>
      <c r="T40" s="31"/>
      <c r="U40" s="32"/>
      <c r="V40" s="32"/>
      <c r="W40" s="31"/>
      <c r="X40" s="32"/>
      <c r="Y40" s="33"/>
    </row>
    <row r="41" spans="1:25" x14ac:dyDescent="0.2">
      <c r="A41" s="24"/>
      <c r="B41" s="24"/>
      <c r="C41" s="24">
        <v>32</v>
      </c>
      <c r="D41" s="25"/>
      <c r="E41" s="26"/>
      <c r="F41" s="26"/>
      <c r="G41" s="26"/>
      <c r="H41" s="26"/>
      <c r="I41" s="26"/>
      <c r="J41" s="27">
        <f t="shared" si="0"/>
        <v>0</v>
      </c>
      <c r="L41" s="25"/>
      <c r="M41" s="26"/>
      <c r="N41" s="26"/>
      <c r="O41" s="26"/>
      <c r="P41" s="26"/>
      <c r="Q41" s="26"/>
      <c r="R41" s="27">
        <f t="shared" si="1"/>
        <v>0</v>
      </c>
      <c r="S41" s="20"/>
      <c r="T41" s="31"/>
      <c r="U41" s="32"/>
      <c r="V41" s="32"/>
      <c r="W41" s="31"/>
      <c r="X41" s="32"/>
      <c r="Y41" s="33"/>
    </row>
    <row r="42" spans="1:25" ht="12.75" thickBot="1" x14ac:dyDescent="0.25">
      <c r="A42" s="24"/>
      <c r="B42" s="34"/>
      <c r="C42" s="34">
        <v>37</v>
      </c>
      <c r="D42" s="35"/>
      <c r="E42" s="36"/>
      <c r="F42" s="36"/>
      <c r="G42" s="36"/>
      <c r="H42" s="36"/>
      <c r="I42" s="36"/>
      <c r="J42" s="37">
        <f t="shared" si="0"/>
        <v>0</v>
      </c>
      <c r="L42" s="35"/>
      <c r="M42" s="36"/>
      <c r="N42" s="36"/>
      <c r="O42" s="36"/>
      <c r="P42" s="36"/>
      <c r="Q42" s="36"/>
      <c r="R42" s="37">
        <f t="shared" si="1"/>
        <v>0</v>
      </c>
      <c r="S42" s="20"/>
      <c r="T42" s="41"/>
      <c r="U42" s="42"/>
      <c r="V42" s="42"/>
      <c r="W42" s="41"/>
      <c r="X42" s="42"/>
      <c r="Y42" s="43"/>
    </row>
    <row r="43" spans="1:25" x14ac:dyDescent="0.2">
      <c r="A43" s="24"/>
      <c r="B43" s="13" t="s">
        <v>17</v>
      </c>
      <c r="C43" s="13">
        <v>22</v>
      </c>
      <c r="D43" s="14"/>
      <c r="E43" s="15"/>
      <c r="F43" s="15"/>
      <c r="G43" s="15"/>
      <c r="H43" s="15"/>
      <c r="I43" s="15"/>
      <c r="J43" s="16">
        <f t="shared" si="0"/>
        <v>0</v>
      </c>
      <c r="L43" s="14"/>
      <c r="M43" s="15"/>
      <c r="N43" s="15"/>
      <c r="O43" s="15"/>
      <c r="P43" s="15"/>
      <c r="Q43" s="15"/>
      <c r="R43" s="16">
        <f t="shared" si="1"/>
        <v>0</v>
      </c>
      <c r="S43" s="20"/>
      <c r="T43" s="21" t="e">
        <f>bdrate($D43:$D46,E43:E46,$L43:$L46,M43:M46)</f>
        <v>#VALUE!</v>
      </c>
      <c r="U43" s="22" t="e">
        <f>bdrate($D43:$D46,F43:F46,$L43:$L46,N43:N46)</f>
        <v>#VALUE!</v>
      </c>
      <c r="V43" s="22" t="e">
        <f>bdrate($D43:$D46,G43:G46,$L43:$L46,O43:O46)</f>
        <v>#VALUE!</v>
      </c>
      <c r="W43" s="44" t="e">
        <f>bdrateOld($D43:$D46,E43:E46,$L43:$L46,M43:M46)</f>
        <v>#VALUE!</v>
      </c>
      <c r="X43" s="45" t="e">
        <f>bdrateOld($D43:$D46,F43:F46,$L43:$L46,N43:N46)</f>
        <v>#VALUE!</v>
      </c>
      <c r="Y43" s="46" t="e">
        <f>bdrateOld($D43:$D46,G43:G46,$L43:$L46,O43:O46)</f>
        <v>#VALUE!</v>
      </c>
    </row>
    <row r="44" spans="1:25" x14ac:dyDescent="0.2">
      <c r="A44" s="24"/>
      <c r="B44" s="24"/>
      <c r="C44" s="24">
        <v>27</v>
      </c>
      <c r="D44" s="25"/>
      <c r="E44" s="26"/>
      <c r="F44" s="26"/>
      <c r="G44" s="26"/>
      <c r="H44" s="26"/>
      <c r="I44" s="26"/>
      <c r="J44" s="27">
        <f t="shared" si="0"/>
        <v>0</v>
      </c>
      <c r="L44" s="25"/>
      <c r="M44" s="26"/>
      <c r="N44" s="26"/>
      <c r="O44" s="26"/>
      <c r="P44" s="26"/>
      <c r="Q44" s="26"/>
      <c r="R44" s="27">
        <f t="shared" si="1"/>
        <v>0</v>
      </c>
      <c r="S44" s="20"/>
      <c r="T44" s="31"/>
      <c r="U44" s="32"/>
      <c r="V44" s="32"/>
      <c r="W44" s="31"/>
      <c r="X44" s="32"/>
      <c r="Y44" s="33"/>
    </row>
    <row r="45" spans="1:25" x14ac:dyDescent="0.2">
      <c r="A45" s="24"/>
      <c r="B45" s="24"/>
      <c r="C45" s="24">
        <v>32</v>
      </c>
      <c r="D45" s="25"/>
      <c r="E45" s="26"/>
      <c r="F45" s="26"/>
      <c r="G45" s="26"/>
      <c r="H45" s="26"/>
      <c r="I45" s="26"/>
      <c r="J45" s="27">
        <f t="shared" si="0"/>
        <v>0</v>
      </c>
      <c r="L45" s="25"/>
      <c r="M45" s="26"/>
      <c r="N45" s="26"/>
      <c r="O45" s="26"/>
      <c r="P45" s="26"/>
      <c r="Q45" s="26"/>
      <c r="R45" s="27">
        <f t="shared" si="1"/>
        <v>0</v>
      </c>
      <c r="S45" s="20"/>
      <c r="T45" s="31"/>
      <c r="U45" s="32"/>
      <c r="V45" s="32"/>
      <c r="W45" s="31"/>
      <c r="X45" s="32"/>
      <c r="Y45" s="33"/>
    </row>
    <row r="46" spans="1:25" ht="12.75" thickBot="1" x14ac:dyDescent="0.25">
      <c r="A46" s="24"/>
      <c r="B46" s="34"/>
      <c r="C46" s="34">
        <v>37</v>
      </c>
      <c r="D46" s="35"/>
      <c r="E46" s="36"/>
      <c r="F46" s="36"/>
      <c r="G46" s="36"/>
      <c r="H46" s="36"/>
      <c r="I46" s="36"/>
      <c r="J46" s="37">
        <f t="shared" si="0"/>
        <v>0</v>
      </c>
      <c r="L46" s="35"/>
      <c r="M46" s="36"/>
      <c r="N46" s="36"/>
      <c r="O46" s="36"/>
      <c r="P46" s="36"/>
      <c r="Q46" s="36"/>
      <c r="R46" s="37">
        <f t="shared" si="1"/>
        <v>0</v>
      </c>
      <c r="S46" s="20"/>
      <c r="T46" s="41"/>
      <c r="U46" s="42"/>
      <c r="V46" s="42"/>
      <c r="W46" s="41"/>
      <c r="X46" s="42"/>
      <c r="Y46" s="43"/>
    </row>
    <row r="47" spans="1:25" x14ac:dyDescent="0.2">
      <c r="A47" s="24"/>
      <c r="B47" s="13" t="s">
        <v>18</v>
      </c>
      <c r="C47" s="13">
        <v>22</v>
      </c>
      <c r="D47" s="14"/>
      <c r="E47" s="15"/>
      <c r="F47" s="15"/>
      <c r="G47" s="15"/>
      <c r="H47" s="15"/>
      <c r="I47" s="15"/>
      <c r="J47" s="16">
        <f t="shared" si="0"/>
        <v>0</v>
      </c>
      <c r="L47" s="14"/>
      <c r="M47" s="15"/>
      <c r="N47" s="15"/>
      <c r="O47" s="15"/>
      <c r="P47" s="15"/>
      <c r="Q47" s="15"/>
      <c r="R47" s="16">
        <f t="shared" si="1"/>
        <v>0</v>
      </c>
      <c r="S47" s="20"/>
      <c r="T47" s="21" t="e">
        <f>bdrate($D47:$D50,E47:E50,$L47:$L50,M47:M50)</f>
        <v>#VALUE!</v>
      </c>
      <c r="U47" s="22" t="e">
        <f>bdrate($D47:$D50,F47:F50,$L47:$L50,N47:N50)</f>
        <v>#VALUE!</v>
      </c>
      <c r="V47" s="22" t="e">
        <f>bdrate($D47:$D50,G47:G50,$L47:$L50,O47:O50)</f>
        <v>#VALUE!</v>
      </c>
      <c r="W47" s="44" t="e">
        <f>bdrateOld($D47:$D50,E47:E50,$L47:$L50,M47:M50)</f>
        <v>#VALUE!</v>
      </c>
      <c r="X47" s="45" t="e">
        <f>bdrateOld($D47:$D50,F47:F50,$L47:$L50,N47:N50)</f>
        <v>#VALUE!</v>
      </c>
      <c r="Y47" s="46" t="e">
        <f>bdrateOld($D47:$D50,G47:G50,$L47:$L50,O47:O50)</f>
        <v>#VALUE!</v>
      </c>
    </row>
    <row r="48" spans="1:25" x14ac:dyDescent="0.2">
      <c r="A48" s="24"/>
      <c r="B48" s="24"/>
      <c r="C48" s="24">
        <v>27</v>
      </c>
      <c r="D48" s="25"/>
      <c r="E48" s="26"/>
      <c r="F48" s="26"/>
      <c r="G48" s="26"/>
      <c r="H48" s="26"/>
      <c r="I48" s="26"/>
      <c r="J48" s="27">
        <f t="shared" si="0"/>
        <v>0</v>
      </c>
      <c r="L48" s="25"/>
      <c r="M48" s="26"/>
      <c r="N48" s="26"/>
      <c r="O48" s="26"/>
      <c r="P48" s="26"/>
      <c r="Q48" s="26"/>
      <c r="R48" s="27">
        <f t="shared" si="1"/>
        <v>0</v>
      </c>
      <c r="S48" s="20"/>
      <c r="T48" s="31"/>
      <c r="U48" s="32"/>
      <c r="V48" s="32"/>
      <c r="W48" s="31"/>
      <c r="X48" s="32"/>
      <c r="Y48" s="33"/>
    </row>
    <row r="49" spans="1:25" x14ac:dyDescent="0.2">
      <c r="A49" s="24"/>
      <c r="B49" s="24"/>
      <c r="C49" s="24">
        <v>32</v>
      </c>
      <c r="D49" s="25"/>
      <c r="E49" s="26"/>
      <c r="F49" s="26"/>
      <c r="G49" s="26"/>
      <c r="H49" s="26"/>
      <c r="I49" s="26"/>
      <c r="J49" s="27">
        <f t="shared" si="0"/>
        <v>0</v>
      </c>
      <c r="L49" s="25"/>
      <c r="M49" s="26"/>
      <c r="N49" s="26"/>
      <c r="O49" s="26"/>
      <c r="P49" s="26"/>
      <c r="Q49" s="26"/>
      <c r="R49" s="27">
        <f t="shared" si="1"/>
        <v>0</v>
      </c>
      <c r="S49" s="20"/>
      <c r="T49" s="31"/>
      <c r="U49" s="32"/>
      <c r="V49" s="32"/>
      <c r="W49" s="31"/>
      <c r="X49" s="32"/>
      <c r="Y49" s="33"/>
    </row>
    <row r="50" spans="1:25" ht="12.75" thickBot="1" x14ac:dyDescent="0.25">
      <c r="A50" s="24"/>
      <c r="B50" s="34"/>
      <c r="C50" s="34">
        <v>37</v>
      </c>
      <c r="D50" s="35"/>
      <c r="E50" s="36"/>
      <c r="F50" s="36"/>
      <c r="G50" s="36"/>
      <c r="H50" s="36"/>
      <c r="I50" s="36"/>
      <c r="J50" s="37">
        <f t="shared" si="0"/>
        <v>0</v>
      </c>
      <c r="L50" s="35"/>
      <c r="M50" s="36"/>
      <c r="N50" s="36"/>
      <c r="O50" s="36"/>
      <c r="P50" s="36"/>
      <c r="Q50" s="36"/>
      <c r="R50" s="37">
        <f t="shared" si="1"/>
        <v>0</v>
      </c>
      <c r="S50" s="20"/>
      <c r="T50" s="41"/>
      <c r="U50" s="42"/>
      <c r="V50" s="42"/>
      <c r="W50" s="41"/>
      <c r="X50" s="42"/>
      <c r="Y50" s="43"/>
    </row>
    <row r="51" spans="1:25" x14ac:dyDescent="0.2">
      <c r="A51" s="24"/>
      <c r="B51" s="13" t="s">
        <v>19</v>
      </c>
      <c r="C51" s="13">
        <v>22</v>
      </c>
      <c r="D51" s="14"/>
      <c r="E51" s="15"/>
      <c r="F51" s="15"/>
      <c r="G51" s="15"/>
      <c r="H51" s="15"/>
      <c r="I51" s="15"/>
      <c r="J51" s="16">
        <f t="shared" si="0"/>
        <v>0</v>
      </c>
      <c r="L51" s="14"/>
      <c r="M51" s="15"/>
      <c r="N51" s="15"/>
      <c r="O51" s="15"/>
      <c r="P51" s="15"/>
      <c r="Q51" s="15"/>
      <c r="R51" s="16">
        <f t="shared" si="1"/>
        <v>0</v>
      </c>
      <c r="S51" s="20"/>
      <c r="T51" s="21" t="e">
        <f>bdrate($D51:$D54,E51:E54,$L51:$L54,M51:M54)</f>
        <v>#VALUE!</v>
      </c>
      <c r="U51" s="22" t="e">
        <f>bdrate($D51:$D54,F51:F54,$L51:$L54,N51:N54)</f>
        <v>#VALUE!</v>
      </c>
      <c r="V51" s="22" t="e">
        <f>bdrate($D51:$D54,G51:G54,$L51:$L54,O51:O54)</f>
        <v>#VALUE!</v>
      </c>
      <c r="W51" s="44" t="e">
        <f>bdrateOld($D51:$D54,E51:E54,$L51:$L54,M51:M54)</f>
        <v>#VALUE!</v>
      </c>
      <c r="X51" s="45" t="e">
        <f>bdrateOld($D51:$D54,F51:F54,$L51:$L54,N51:N54)</f>
        <v>#VALUE!</v>
      </c>
      <c r="Y51" s="46" t="e">
        <f>bdrateOld($D51:$D54,G51:G54,$L51:$L54,O51:O54)</f>
        <v>#VALUE!</v>
      </c>
    </row>
    <row r="52" spans="1:25" x14ac:dyDescent="0.2">
      <c r="A52" s="24"/>
      <c r="B52" s="24"/>
      <c r="C52" s="24">
        <v>27</v>
      </c>
      <c r="D52" s="25"/>
      <c r="E52" s="26"/>
      <c r="F52" s="26"/>
      <c r="G52" s="26"/>
      <c r="H52" s="26"/>
      <c r="I52" s="26"/>
      <c r="J52" s="27">
        <f t="shared" si="0"/>
        <v>0</v>
      </c>
      <c r="L52" s="25"/>
      <c r="M52" s="26"/>
      <c r="N52" s="26"/>
      <c r="O52" s="26"/>
      <c r="P52" s="26"/>
      <c r="Q52" s="26"/>
      <c r="R52" s="27">
        <f t="shared" si="1"/>
        <v>0</v>
      </c>
      <c r="S52" s="20"/>
      <c r="T52" s="31"/>
      <c r="U52" s="32"/>
      <c r="V52" s="32"/>
      <c r="W52" s="31"/>
      <c r="X52" s="32"/>
      <c r="Y52" s="33"/>
    </row>
    <row r="53" spans="1:25" x14ac:dyDescent="0.2">
      <c r="A53" s="24"/>
      <c r="B53" s="24"/>
      <c r="C53" s="24">
        <v>32</v>
      </c>
      <c r="D53" s="25"/>
      <c r="E53" s="26"/>
      <c r="F53" s="26"/>
      <c r="G53" s="26"/>
      <c r="H53" s="26"/>
      <c r="I53" s="26"/>
      <c r="J53" s="27">
        <f t="shared" si="0"/>
        <v>0</v>
      </c>
      <c r="L53" s="25"/>
      <c r="M53" s="26"/>
      <c r="N53" s="26"/>
      <c r="O53" s="26"/>
      <c r="P53" s="26"/>
      <c r="Q53" s="26"/>
      <c r="R53" s="27">
        <f t="shared" si="1"/>
        <v>0</v>
      </c>
      <c r="S53" s="20"/>
      <c r="T53" s="31"/>
      <c r="U53" s="32"/>
      <c r="V53" s="32"/>
      <c r="W53" s="31"/>
      <c r="X53" s="32"/>
      <c r="Y53" s="33"/>
    </row>
    <row r="54" spans="1:25" ht="12.75" thickBot="1" x14ac:dyDescent="0.25">
      <c r="A54" s="34"/>
      <c r="B54" s="34"/>
      <c r="C54" s="34">
        <v>37</v>
      </c>
      <c r="D54" s="35"/>
      <c r="E54" s="36"/>
      <c r="F54" s="36"/>
      <c r="G54" s="36"/>
      <c r="H54" s="36"/>
      <c r="I54" s="36"/>
      <c r="J54" s="37">
        <f t="shared" si="0"/>
        <v>0</v>
      </c>
      <c r="L54" s="35"/>
      <c r="M54" s="36"/>
      <c r="N54" s="36"/>
      <c r="O54" s="36"/>
      <c r="P54" s="36"/>
      <c r="Q54" s="36"/>
      <c r="R54" s="37">
        <f t="shared" si="1"/>
        <v>0</v>
      </c>
      <c r="S54" s="20"/>
      <c r="T54" s="41"/>
      <c r="U54" s="42"/>
      <c r="V54" s="42"/>
      <c r="W54" s="41"/>
      <c r="X54" s="42"/>
      <c r="Y54" s="43"/>
    </row>
    <row r="55" spans="1:25" x14ac:dyDescent="0.2">
      <c r="A55" s="13" t="s">
        <v>20</v>
      </c>
      <c r="B55" s="13" t="s">
        <v>21</v>
      </c>
      <c r="C55" s="13">
        <v>22</v>
      </c>
      <c r="D55" s="14"/>
      <c r="E55" s="15"/>
      <c r="F55" s="15"/>
      <c r="G55" s="15"/>
      <c r="H55" s="15"/>
      <c r="I55" s="15"/>
      <c r="J55" s="16">
        <f t="shared" si="0"/>
        <v>0</v>
      </c>
      <c r="L55" s="14"/>
      <c r="M55" s="15"/>
      <c r="N55" s="15"/>
      <c r="O55" s="15"/>
      <c r="P55" s="15"/>
      <c r="Q55" s="15"/>
      <c r="R55" s="16">
        <f t="shared" si="1"/>
        <v>0</v>
      </c>
      <c r="S55" s="20"/>
      <c r="T55" s="21" t="e">
        <f>bdrate($D55:$D58,E55:E58,$L55:$L58,M55:M58)</f>
        <v>#VALUE!</v>
      </c>
      <c r="U55" s="22" t="e">
        <f>bdrate($D55:$D58,F55:F58,$L55:$L58,N55:N58)</f>
        <v>#VALUE!</v>
      </c>
      <c r="V55" s="22" t="e">
        <f>bdrate($D55:$D58,G55:G58,$L55:$L58,O55:O58)</f>
        <v>#VALUE!</v>
      </c>
      <c r="W55" s="44" t="e">
        <f>bdrateOld($D55:$D58,E55:E58,$L55:$L58,M55:M58)</f>
        <v>#VALUE!</v>
      </c>
      <c r="X55" s="45" t="e">
        <f>bdrateOld($D55:$D58,F55:F58,$L55:$L58,N55:N58)</f>
        <v>#VALUE!</v>
      </c>
      <c r="Y55" s="46" t="e">
        <f>bdrateOld($D55:$D58,G55:G58,$L55:$L58,O55:O58)</f>
        <v>#VALUE!</v>
      </c>
    </row>
    <row r="56" spans="1:25" x14ac:dyDescent="0.2">
      <c r="A56" s="24" t="s">
        <v>22</v>
      </c>
      <c r="B56" s="24"/>
      <c r="C56" s="24">
        <v>27</v>
      </c>
      <c r="D56" s="25"/>
      <c r="E56" s="26"/>
      <c r="F56" s="26"/>
      <c r="G56" s="26"/>
      <c r="H56" s="26"/>
      <c r="I56" s="26"/>
      <c r="J56" s="27">
        <f t="shared" si="0"/>
        <v>0</v>
      </c>
      <c r="L56" s="25"/>
      <c r="M56" s="26"/>
      <c r="N56" s="26"/>
      <c r="O56" s="26"/>
      <c r="P56" s="26"/>
      <c r="Q56" s="26"/>
      <c r="R56" s="27">
        <f t="shared" si="1"/>
        <v>0</v>
      </c>
      <c r="S56" s="20"/>
      <c r="T56" s="31"/>
      <c r="U56" s="32"/>
      <c r="V56" s="32"/>
      <c r="W56" s="31"/>
      <c r="X56" s="32"/>
      <c r="Y56" s="33"/>
    </row>
    <row r="57" spans="1:25" x14ac:dyDescent="0.2">
      <c r="A57" s="24"/>
      <c r="B57" s="24"/>
      <c r="C57" s="24">
        <v>32</v>
      </c>
      <c r="D57" s="25"/>
      <c r="E57" s="26"/>
      <c r="F57" s="26"/>
      <c r="G57" s="26"/>
      <c r="H57" s="26"/>
      <c r="I57" s="26"/>
      <c r="J57" s="27">
        <f t="shared" si="0"/>
        <v>0</v>
      </c>
      <c r="L57" s="25"/>
      <c r="M57" s="26"/>
      <c r="N57" s="26"/>
      <c r="O57" s="26"/>
      <c r="P57" s="26"/>
      <c r="Q57" s="26"/>
      <c r="R57" s="27">
        <f t="shared" si="1"/>
        <v>0</v>
      </c>
      <c r="S57" s="20"/>
      <c r="T57" s="31"/>
      <c r="U57" s="32"/>
      <c r="V57" s="32"/>
      <c r="W57" s="31"/>
      <c r="X57" s="32"/>
      <c r="Y57" s="33"/>
    </row>
    <row r="58" spans="1:25" ht="12.75" thickBot="1" x14ac:dyDescent="0.25">
      <c r="A58" s="24"/>
      <c r="B58" s="34"/>
      <c r="C58" s="34">
        <v>37</v>
      </c>
      <c r="D58" s="35"/>
      <c r="E58" s="36"/>
      <c r="F58" s="36"/>
      <c r="G58" s="36"/>
      <c r="H58" s="36"/>
      <c r="I58" s="36"/>
      <c r="J58" s="37">
        <f t="shared" si="0"/>
        <v>0</v>
      </c>
      <c r="L58" s="35"/>
      <c r="M58" s="36"/>
      <c r="N58" s="36"/>
      <c r="O58" s="36"/>
      <c r="P58" s="36"/>
      <c r="Q58" s="36"/>
      <c r="R58" s="37">
        <f t="shared" si="1"/>
        <v>0</v>
      </c>
      <c r="S58" s="20"/>
      <c r="T58" s="41"/>
      <c r="U58" s="42"/>
      <c r="V58" s="42"/>
      <c r="W58" s="41"/>
      <c r="X58" s="42"/>
      <c r="Y58" s="43"/>
    </row>
    <row r="59" spans="1:25" x14ac:dyDescent="0.2">
      <c r="A59" s="24"/>
      <c r="B59" s="13" t="s">
        <v>23</v>
      </c>
      <c r="C59" s="13">
        <v>22</v>
      </c>
      <c r="D59" s="14"/>
      <c r="E59" s="15"/>
      <c r="F59" s="15"/>
      <c r="G59" s="15"/>
      <c r="H59" s="15"/>
      <c r="I59" s="15"/>
      <c r="J59" s="16">
        <f t="shared" si="0"/>
        <v>0</v>
      </c>
      <c r="L59" s="14"/>
      <c r="M59" s="15"/>
      <c r="N59" s="15"/>
      <c r="O59" s="15"/>
      <c r="P59" s="15"/>
      <c r="Q59" s="15"/>
      <c r="R59" s="16">
        <f t="shared" si="1"/>
        <v>0</v>
      </c>
      <c r="S59" s="20"/>
      <c r="T59" s="21" t="e">
        <f>bdrate($D59:$D62,E59:E62,$L59:$L62,M59:M62)</f>
        <v>#VALUE!</v>
      </c>
      <c r="U59" s="22" t="e">
        <f>bdrate($D59:$D62,F59:F62,$L59:$L62,N59:N62)</f>
        <v>#VALUE!</v>
      </c>
      <c r="V59" s="22" t="e">
        <f>bdrate($D59:$D62,G59:G62,$L59:$L62,O59:O62)</f>
        <v>#VALUE!</v>
      </c>
      <c r="W59" s="44" t="e">
        <f>bdrateOld($D59:$D62,E59:E62,$L59:$L62,M59:M62)</f>
        <v>#VALUE!</v>
      </c>
      <c r="X59" s="45" t="e">
        <f>bdrateOld($D59:$D62,F59:F62,$L59:$L62,N59:N62)</f>
        <v>#VALUE!</v>
      </c>
      <c r="Y59" s="46" t="e">
        <f>bdrateOld($D59:$D62,G59:G62,$L59:$L62,O59:O62)</f>
        <v>#VALUE!</v>
      </c>
    </row>
    <row r="60" spans="1:25" x14ac:dyDescent="0.2">
      <c r="A60" s="24"/>
      <c r="B60" s="24"/>
      <c r="C60" s="24">
        <v>27</v>
      </c>
      <c r="D60" s="25"/>
      <c r="E60" s="26"/>
      <c r="F60" s="26"/>
      <c r="G60" s="26"/>
      <c r="H60" s="26"/>
      <c r="I60" s="26"/>
      <c r="J60" s="27">
        <f t="shared" si="0"/>
        <v>0</v>
      </c>
      <c r="L60" s="25"/>
      <c r="M60" s="26"/>
      <c r="N60" s="26"/>
      <c r="O60" s="26"/>
      <c r="P60" s="26"/>
      <c r="Q60" s="26"/>
      <c r="R60" s="27">
        <f t="shared" si="1"/>
        <v>0</v>
      </c>
      <c r="S60" s="20"/>
      <c r="T60" s="31"/>
      <c r="U60" s="32"/>
      <c r="V60" s="32"/>
      <c r="W60" s="31"/>
      <c r="X60" s="32"/>
      <c r="Y60" s="33"/>
    </row>
    <row r="61" spans="1:25" x14ac:dyDescent="0.2">
      <c r="A61" s="24"/>
      <c r="B61" s="24"/>
      <c r="C61" s="24">
        <v>32</v>
      </c>
      <c r="D61" s="25"/>
      <c r="E61" s="26"/>
      <c r="F61" s="26"/>
      <c r="G61" s="26"/>
      <c r="H61" s="26"/>
      <c r="I61" s="26"/>
      <c r="J61" s="27">
        <f t="shared" si="0"/>
        <v>0</v>
      </c>
      <c r="L61" s="25"/>
      <c r="M61" s="26"/>
      <c r="N61" s="26"/>
      <c r="O61" s="26"/>
      <c r="P61" s="26"/>
      <c r="Q61" s="26"/>
      <c r="R61" s="27">
        <f t="shared" si="1"/>
        <v>0</v>
      </c>
      <c r="S61" s="20"/>
      <c r="T61" s="31"/>
      <c r="U61" s="32"/>
      <c r="V61" s="32"/>
      <c r="W61" s="31"/>
      <c r="X61" s="32"/>
      <c r="Y61" s="33"/>
    </row>
    <row r="62" spans="1:25" ht="12.75" thickBot="1" x14ac:dyDescent="0.25">
      <c r="A62" s="24"/>
      <c r="B62" s="34"/>
      <c r="C62" s="34">
        <v>37</v>
      </c>
      <c r="D62" s="35"/>
      <c r="E62" s="36"/>
      <c r="F62" s="36"/>
      <c r="G62" s="36"/>
      <c r="H62" s="36"/>
      <c r="I62" s="36"/>
      <c r="J62" s="37">
        <f t="shared" si="0"/>
        <v>0</v>
      </c>
      <c r="L62" s="35"/>
      <c r="M62" s="36"/>
      <c r="N62" s="36"/>
      <c r="O62" s="36"/>
      <c r="P62" s="36"/>
      <c r="Q62" s="36"/>
      <c r="R62" s="37">
        <f t="shared" si="1"/>
        <v>0</v>
      </c>
      <c r="S62" s="20"/>
      <c r="T62" s="41"/>
      <c r="U62" s="42"/>
      <c r="V62" s="42"/>
      <c r="W62" s="41"/>
      <c r="X62" s="42"/>
      <c r="Y62" s="43"/>
    </row>
    <row r="63" spans="1:25" x14ac:dyDescent="0.2">
      <c r="A63" s="24"/>
      <c r="B63" s="13" t="s">
        <v>24</v>
      </c>
      <c r="C63" s="13">
        <v>22</v>
      </c>
      <c r="D63" s="14"/>
      <c r="E63" s="15"/>
      <c r="F63" s="15"/>
      <c r="G63" s="15"/>
      <c r="H63" s="15"/>
      <c r="I63" s="15"/>
      <c r="J63" s="16">
        <f t="shared" si="0"/>
        <v>0</v>
      </c>
      <c r="L63" s="14"/>
      <c r="M63" s="15"/>
      <c r="N63" s="15"/>
      <c r="O63" s="15"/>
      <c r="P63" s="15"/>
      <c r="Q63" s="15"/>
      <c r="R63" s="16">
        <f t="shared" si="1"/>
        <v>0</v>
      </c>
      <c r="S63" s="20"/>
      <c r="T63" s="21" t="e">
        <f>bdrate($D63:$D66,E63:E66,$L63:$L66,M63:M66)</f>
        <v>#VALUE!</v>
      </c>
      <c r="U63" s="22" t="e">
        <f>bdrate($D63:$D66,F63:F66,$L63:$L66,N63:N66)</f>
        <v>#VALUE!</v>
      </c>
      <c r="V63" s="22" t="e">
        <f>bdrate($D63:$D66,G63:G66,$L63:$L66,O63:O66)</f>
        <v>#VALUE!</v>
      </c>
      <c r="W63" s="44" t="e">
        <f>bdrateOld($D63:$D66,E63:E66,$L63:$L66,M63:M66)</f>
        <v>#VALUE!</v>
      </c>
      <c r="X63" s="45" t="e">
        <f>bdrateOld($D63:$D66,F63:F66,$L63:$L66,N63:N66)</f>
        <v>#VALUE!</v>
      </c>
      <c r="Y63" s="46" t="e">
        <f>bdrateOld($D63:$D66,G63:G66,$L63:$L66,O63:O66)</f>
        <v>#VALUE!</v>
      </c>
    </row>
    <row r="64" spans="1:25" x14ac:dyDescent="0.2">
      <c r="A64" s="24"/>
      <c r="B64" s="24"/>
      <c r="C64" s="24">
        <v>27</v>
      </c>
      <c r="D64" s="25"/>
      <c r="E64" s="26"/>
      <c r="F64" s="26"/>
      <c r="G64" s="26"/>
      <c r="H64" s="26"/>
      <c r="I64" s="26"/>
      <c r="J64" s="27">
        <f t="shared" si="0"/>
        <v>0</v>
      </c>
      <c r="L64" s="25"/>
      <c r="M64" s="26"/>
      <c r="N64" s="26"/>
      <c r="O64" s="26"/>
      <c r="P64" s="26"/>
      <c r="Q64" s="26"/>
      <c r="R64" s="27">
        <f t="shared" si="1"/>
        <v>0</v>
      </c>
      <c r="S64" s="20"/>
      <c r="T64" s="31"/>
      <c r="U64" s="32"/>
      <c r="V64" s="32"/>
      <c r="W64" s="31"/>
      <c r="X64" s="32"/>
      <c r="Y64" s="33"/>
    </row>
    <row r="65" spans="1:25" x14ac:dyDescent="0.2">
      <c r="A65" s="24"/>
      <c r="B65" s="24"/>
      <c r="C65" s="24">
        <v>32</v>
      </c>
      <c r="D65" s="25"/>
      <c r="E65" s="26"/>
      <c r="F65" s="26"/>
      <c r="G65" s="26"/>
      <c r="H65" s="26"/>
      <c r="I65" s="26"/>
      <c r="J65" s="27">
        <f t="shared" si="0"/>
        <v>0</v>
      </c>
      <c r="L65" s="25"/>
      <c r="M65" s="26"/>
      <c r="N65" s="26"/>
      <c r="O65" s="26"/>
      <c r="P65" s="26"/>
      <c r="Q65" s="26"/>
      <c r="R65" s="27">
        <f t="shared" si="1"/>
        <v>0</v>
      </c>
      <c r="S65" s="20"/>
      <c r="T65" s="31"/>
      <c r="U65" s="32"/>
      <c r="V65" s="32"/>
      <c r="W65" s="31"/>
      <c r="X65" s="32"/>
      <c r="Y65" s="33"/>
    </row>
    <row r="66" spans="1:25" ht="12.75" thickBot="1" x14ac:dyDescent="0.25">
      <c r="A66" s="24"/>
      <c r="B66" s="34"/>
      <c r="C66" s="34">
        <v>37</v>
      </c>
      <c r="D66" s="35"/>
      <c r="E66" s="36"/>
      <c r="F66" s="36"/>
      <c r="G66" s="36"/>
      <c r="H66" s="36"/>
      <c r="I66" s="36"/>
      <c r="J66" s="37">
        <f t="shared" si="0"/>
        <v>0</v>
      </c>
      <c r="L66" s="35"/>
      <c r="M66" s="36"/>
      <c r="N66" s="36"/>
      <c r="O66" s="36"/>
      <c r="P66" s="36"/>
      <c r="Q66" s="36"/>
      <c r="R66" s="37">
        <f t="shared" si="1"/>
        <v>0</v>
      </c>
      <c r="S66" s="20"/>
      <c r="T66" s="41"/>
      <c r="U66" s="42"/>
      <c r="V66" s="42"/>
      <c r="W66" s="41"/>
      <c r="X66" s="42"/>
      <c r="Y66" s="43"/>
    </row>
    <row r="67" spans="1:25" x14ac:dyDescent="0.2">
      <c r="A67" s="24"/>
      <c r="B67" s="13" t="s">
        <v>19</v>
      </c>
      <c r="C67" s="13">
        <v>22</v>
      </c>
      <c r="D67" s="14"/>
      <c r="E67" s="15"/>
      <c r="F67" s="15"/>
      <c r="G67" s="15"/>
      <c r="H67" s="15"/>
      <c r="I67" s="15"/>
      <c r="J67" s="16">
        <f t="shared" si="0"/>
        <v>0</v>
      </c>
      <c r="L67" s="14"/>
      <c r="M67" s="15"/>
      <c r="N67" s="15"/>
      <c r="O67" s="15"/>
      <c r="P67" s="15"/>
      <c r="Q67" s="15"/>
      <c r="R67" s="16">
        <f t="shared" si="1"/>
        <v>0</v>
      </c>
      <c r="S67" s="20"/>
      <c r="T67" s="21" t="e">
        <f>bdrate($D67:$D70,E67:E70,$L67:$L70,M67:M70)</f>
        <v>#VALUE!</v>
      </c>
      <c r="U67" s="22" t="e">
        <f>bdrate($D67:$D70,F67:F70,$L67:$L70,N67:N70)</f>
        <v>#VALUE!</v>
      </c>
      <c r="V67" s="22" t="e">
        <f>bdrate($D67:$D70,G67:G70,$L67:$L70,O67:O70)</f>
        <v>#VALUE!</v>
      </c>
      <c r="W67" s="44" t="e">
        <f>bdrateOld($D67:$D70,E67:E70,$L67:$L70,M67:M70)</f>
        <v>#VALUE!</v>
      </c>
      <c r="X67" s="45" t="e">
        <f>bdrateOld($D67:$D70,F67:F70,$L67:$L70,N67:N70)</f>
        <v>#VALUE!</v>
      </c>
      <c r="Y67" s="46" t="e">
        <f>bdrateOld($D67:$D70,G67:G70,$L67:$L70,O67:O70)</f>
        <v>#VALUE!</v>
      </c>
    </row>
    <row r="68" spans="1:25" x14ac:dyDescent="0.2">
      <c r="A68" s="24"/>
      <c r="B68" s="24"/>
      <c r="C68" s="24">
        <v>27</v>
      </c>
      <c r="D68" s="25"/>
      <c r="E68" s="26"/>
      <c r="F68" s="26"/>
      <c r="G68" s="26"/>
      <c r="H68" s="26"/>
      <c r="I68" s="26"/>
      <c r="J68" s="27">
        <f t="shared" ref="J68:J98" si="2">H68/3600</f>
        <v>0</v>
      </c>
      <c r="L68" s="25"/>
      <c r="M68" s="26"/>
      <c r="N68" s="26"/>
      <c r="O68" s="26"/>
      <c r="P68" s="26"/>
      <c r="Q68" s="26"/>
      <c r="R68" s="27">
        <f t="shared" ref="R68:R98" si="3">P68/3600</f>
        <v>0</v>
      </c>
      <c r="S68" s="20"/>
      <c r="T68" s="31"/>
      <c r="U68" s="32"/>
      <c r="V68" s="32"/>
      <c r="W68" s="31"/>
      <c r="X68" s="32"/>
      <c r="Y68" s="33"/>
    </row>
    <row r="69" spans="1:25" x14ac:dyDescent="0.2">
      <c r="A69" s="24"/>
      <c r="B69" s="24"/>
      <c r="C69" s="24">
        <v>32</v>
      </c>
      <c r="D69" s="25"/>
      <c r="E69" s="26"/>
      <c r="F69" s="26"/>
      <c r="G69" s="26"/>
      <c r="H69" s="26"/>
      <c r="I69" s="26"/>
      <c r="J69" s="27">
        <f t="shared" si="2"/>
        <v>0</v>
      </c>
      <c r="L69" s="25"/>
      <c r="M69" s="26"/>
      <c r="N69" s="26"/>
      <c r="O69" s="26"/>
      <c r="P69" s="26"/>
      <c r="Q69" s="26"/>
      <c r="R69" s="27">
        <f t="shared" si="3"/>
        <v>0</v>
      </c>
      <c r="S69" s="20"/>
      <c r="T69" s="31"/>
      <c r="U69" s="32"/>
      <c r="V69" s="32"/>
      <c r="W69" s="31"/>
      <c r="X69" s="32"/>
      <c r="Y69" s="33"/>
    </row>
    <row r="70" spans="1:25" ht="12.75" thickBot="1" x14ac:dyDescent="0.25">
      <c r="A70" s="34"/>
      <c r="B70" s="34"/>
      <c r="C70" s="34">
        <v>37</v>
      </c>
      <c r="D70" s="35"/>
      <c r="E70" s="36"/>
      <c r="F70" s="36"/>
      <c r="G70" s="36"/>
      <c r="H70" s="36"/>
      <c r="I70" s="36"/>
      <c r="J70" s="37">
        <f t="shared" si="2"/>
        <v>0</v>
      </c>
      <c r="L70" s="35"/>
      <c r="M70" s="36"/>
      <c r="N70" s="36"/>
      <c r="O70" s="36"/>
      <c r="P70" s="36"/>
      <c r="Q70" s="36"/>
      <c r="R70" s="37">
        <f t="shared" si="3"/>
        <v>0</v>
      </c>
      <c r="S70" s="20"/>
      <c r="T70" s="41"/>
      <c r="U70" s="42"/>
      <c r="V70" s="42"/>
      <c r="W70" s="41"/>
      <c r="X70" s="42"/>
      <c r="Y70" s="43"/>
    </row>
    <row r="71" spans="1:25" x14ac:dyDescent="0.2">
      <c r="A71" s="13" t="s">
        <v>25</v>
      </c>
      <c r="B71" s="13" t="s">
        <v>86</v>
      </c>
      <c r="C71" s="13">
        <v>22</v>
      </c>
      <c r="D71" s="14"/>
      <c r="E71" s="15"/>
      <c r="F71" s="15"/>
      <c r="G71" s="15"/>
      <c r="H71" s="15"/>
      <c r="I71" s="15"/>
      <c r="J71" s="16">
        <f t="shared" si="2"/>
        <v>0</v>
      </c>
      <c r="L71" s="14"/>
      <c r="M71" s="15"/>
      <c r="N71" s="15"/>
      <c r="O71" s="15"/>
      <c r="P71" s="15"/>
      <c r="Q71" s="15"/>
      <c r="R71" s="16">
        <f t="shared" si="3"/>
        <v>0</v>
      </c>
      <c r="S71" s="20"/>
      <c r="T71" s="21" t="e">
        <f>bdrate($D71:$D74,E71:E74,$L71:$L74,M71:M74)</f>
        <v>#VALUE!</v>
      </c>
      <c r="U71" s="22" t="e">
        <f>bdrate($D71:$D74,F71:F74,$L71:$L74,N71:N74)</f>
        <v>#VALUE!</v>
      </c>
      <c r="V71" s="22" t="e">
        <f>bdrate($D71:$D74,G71:G74,$L71:$L74,O71:O74)</f>
        <v>#VALUE!</v>
      </c>
      <c r="W71" s="44" t="e">
        <f>bdrateOld($D71:$D74,E71:E74,$L71:$L74,M71:M74)</f>
        <v>#VALUE!</v>
      </c>
      <c r="X71" s="45" t="e">
        <f>bdrateOld($D71:$D74,F71:F74,$L71:$L74,N71:N74)</f>
        <v>#VALUE!</v>
      </c>
      <c r="Y71" s="46" t="e">
        <f>bdrateOld($D71:$D74,G71:G74,$L71:$L74,O71:O74)</f>
        <v>#VALUE!</v>
      </c>
    </row>
    <row r="72" spans="1:25" x14ac:dyDescent="0.2">
      <c r="A72" s="24" t="s">
        <v>26</v>
      </c>
      <c r="B72" s="24"/>
      <c r="C72" s="24">
        <v>27</v>
      </c>
      <c r="D72" s="25"/>
      <c r="E72" s="26"/>
      <c r="F72" s="26"/>
      <c r="G72" s="26"/>
      <c r="H72" s="26"/>
      <c r="I72" s="26"/>
      <c r="J72" s="27">
        <f t="shared" si="2"/>
        <v>0</v>
      </c>
      <c r="L72" s="25"/>
      <c r="M72" s="26"/>
      <c r="N72" s="26"/>
      <c r="O72" s="26"/>
      <c r="P72" s="26"/>
      <c r="Q72" s="26"/>
      <c r="R72" s="27">
        <f t="shared" si="3"/>
        <v>0</v>
      </c>
      <c r="S72" s="20"/>
      <c r="T72" s="31"/>
      <c r="U72" s="32"/>
      <c r="V72" s="32"/>
      <c r="W72" s="31"/>
      <c r="X72" s="32"/>
      <c r="Y72" s="33"/>
    </row>
    <row r="73" spans="1:25" x14ac:dyDescent="0.2">
      <c r="A73" s="24"/>
      <c r="B73" s="24"/>
      <c r="C73" s="24">
        <v>32</v>
      </c>
      <c r="D73" s="25"/>
      <c r="E73" s="26"/>
      <c r="F73" s="26"/>
      <c r="G73" s="26"/>
      <c r="H73" s="26"/>
      <c r="I73" s="26"/>
      <c r="J73" s="27">
        <f t="shared" si="2"/>
        <v>0</v>
      </c>
      <c r="L73" s="25"/>
      <c r="M73" s="26"/>
      <c r="N73" s="26"/>
      <c r="O73" s="26"/>
      <c r="P73" s="26"/>
      <c r="Q73" s="26"/>
      <c r="R73" s="27">
        <f t="shared" si="3"/>
        <v>0</v>
      </c>
      <c r="S73" s="20"/>
      <c r="T73" s="31"/>
      <c r="U73" s="32"/>
      <c r="V73" s="32"/>
      <c r="W73" s="31"/>
      <c r="X73" s="32"/>
      <c r="Y73" s="33"/>
    </row>
    <row r="74" spans="1:25" ht="12.75" thickBot="1" x14ac:dyDescent="0.25">
      <c r="A74" s="24"/>
      <c r="B74" s="34"/>
      <c r="C74" s="34">
        <v>37</v>
      </c>
      <c r="D74" s="35"/>
      <c r="E74" s="36"/>
      <c r="F74" s="36"/>
      <c r="G74" s="36"/>
      <c r="H74" s="36"/>
      <c r="I74" s="36"/>
      <c r="J74" s="37">
        <f t="shared" si="2"/>
        <v>0</v>
      </c>
      <c r="L74" s="35"/>
      <c r="M74" s="36"/>
      <c r="N74" s="36"/>
      <c r="O74" s="36"/>
      <c r="P74" s="36"/>
      <c r="Q74" s="36"/>
      <c r="R74" s="37">
        <f t="shared" si="3"/>
        <v>0</v>
      </c>
      <c r="S74" s="20"/>
      <c r="T74" s="41"/>
      <c r="U74" s="42"/>
      <c r="V74" s="42"/>
      <c r="W74" s="41"/>
      <c r="X74" s="42"/>
      <c r="Y74" s="43"/>
    </row>
    <row r="75" spans="1:25" x14ac:dyDescent="0.2">
      <c r="A75" s="24"/>
      <c r="B75" s="13" t="s">
        <v>87</v>
      </c>
      <c r="C75" s="13">
        <v>22</v>
      </c>
      <c r="D75" s="14"/>
      <c r="E75" s="15"/>
      <c r="F75" s="15"/>
      <c r="G75" s="15"/>
      <c r="H75" s="15"/>
      <c r="I75" s="15"/>
      <c r="J75" s="16">
        <f t="shared" si="2"/>
        <v>0</v>
      </c>
      <c r="L75" s="14"/>
      <c r="M75" s="15"/>
      <c r="N75" s="15"/>
      <c r="O75" s="15"/>
      <c r="P75" s="15"/>
      <c r="Q75" s="15"/>
      <c r="R75" s="16">
        <f t="shared" si="3"/>
        <v>0</v>
      </c>
      <c r="S75" s="20"/>
      <c r="T75" s="21" t="e">
        <f>bdrate($D75:$D78,E75:E78,$L75:$L78,M75:M78)</f>
        <v>#VALUE!</v>
      </c>
      <c r="U75" s="22" t="e">
        <f>bdrate($D75:$D78,F75:F78,$L75:$L78,N75:N78)</f>
        <v>#VALUE!</v>
      </c>
      <c r="V75" s="22" t="e">
        <f>bdrate($D75:$D78,G75:G78,$L75:$L78,O75:O78)</f>
        <v>#VALUE!</v>
      </c>
      <c r="W75" s="44" t="e">
        <f>bdrateOld($D75:$D78,E75:E78,$L75:$L78,M75:M78)</f>
        <v>#VALUE!</v>
      </c>
      <c r="X75" s="45" t="e">
        <f>bdrateOld($D75:$D78,F75:F78,$L75:$L78,N75:N78)</f>
        <v>#VALUE!</v>
      </c>
      <c r="Y75" s="46" t="e">
        <f>bdrateOld($D75:$D78,G75:G78,$L75:$L78,O75:O78)</f>
        <v>#VALUE!</v>
      </c>
    </row>
    <row r="76" spans="1:25" x14ac:dyDescent="0.2">
      <c r="A76" s="24"/>
      <c r="B76" s="24"/>
      <c r="C76" s="24">
        <v>27</v>
      </c>
      <c r="D76" s="25"/>
      <c r="E76" s="26"/>
      <c r="F76" s="26"/>
      <c r="G76" s="26"/>
      <c r="H76" s="26"/>
      <c r="I76" s="26"/>
      <c r="J76" s="27">
        <f t="shared" si="2"/>
        <v>0</v>
      </c>
      <c r="L76" s="25"/>
      <c r="M76" s="26"/>
      <c r="N76" s="26"/>
      <c r="O76" s="26"/>
      <c r="P76" s="26"/>
      <c r="Q76" s="26"/>
      <c r="R76" s="27">
        <f t="shared" si="3"/>
        <v>0</v>
      </c>
      <c r="S76" s="20"/>
      <c r="T76" s="31"/>
      <c r="U76" s="32"/>
      <c r="V76" s="32"/>
      <c r="W76" s="31"/>
      <c r="X76" s="32"/>
      <c r="Y76" s="33"/>
    </row>
    <row r="77" spans="1:25" x14ac:dyDescent="0.2">
      <c r="A77" s="24"/>
      <c r="B77" s="24"/>
      <c r="C77" s="24">
        <v>32</v>
      </c>
      <c r="D77" s="25"/>
      <c r="E77" s="26"/>
      <c r="F77" s="26"/>
      <c r="G77" s="26"/>
      <c r="H77" s="26"/>
      <c r="I77" s="26"/>
      <c r="J77" s="27">
        <f t="shared" si="2"/>
        <v>0</v>
      </c>
      <c r="L77" s="25"/>
      <c r="M77" s="26"/>
      <c r="N77" s="26"/>
      <c r="O77" s="26"/>
      <c r="P77" s="26"/>
      <c r="Q77" s="26"/>
      <c r="R77" s="27">
        <f t="shared" si="3"/>
        <v>0</v>
      </c>
      <c r="S77" s="20"/>
      <c r="T77" s="31"/>
      <c r="U77" s="32"/>
      <c r="V77" s="32"/>
      <c r="W77" s="31"/>
      <c r="X77" s="32"/>
      <c r="Y77" s="33"/>
    </row>
    <row r="78" spans="1:25" ht="12.75" thickBot="1" x14ac:dyDescent="0.25">
      <c r="A78" s="24"/>
      <c r="B78" s="34"/>
      <c r="C78" s="34">
        <v>37</v>
      </c>
      <c r="D78" s="35"/>
      <c r="E78" s="36"/>
      <c r="F78" s="36"/>
      <c r="G78" s="36"/>
      <c r="H78" s="36"/>
      <c r="I78" s="36"/>
      <c r="J78" s="37">
        <f t="shared" si="2"/>
        <v>0</v>
      </c>
      <c r="L78" s="35"/>
      <c r="M78" s="36"/>
      <c r="N78" s="36"/>
      <c r="O78" s="36"/>
      <c r="P78" s="36"/>
      <c r="Q78" s="36"/>
      <c r="R78" s="37">
        <f t="shared" si="3"/>
        <v>0</v>
      </c>
      <c r="S78" s="20"/>
      <c r="T78" s="41"/>
      <c r="U78" s="42"/>
      <c r="V78" s="42"/>
      <c r="W78" s="41"/>
      <c r="X78" s="42"/>
      <c r="Y78" s="43"/>
    </row>
    <row r="79" spans="1:25" x14ac:dyDescent="0.2">
      <c r="A79" s="24"/>
      <c r="B79" s="13" t="s">
        <v>88</v>
      </c>
      <c r="C79" s="13">
        <v>22</v>
      </c>
      <c r="D79" s="14"/>
      <c r="E79" s="15"/>
      <c r="F79" s="15"/>
      <c r="G79" s="15"/>
      <c r="H79" s="15"/>
      <c r="I79" s="15"/>
      <c r="J79" s="16">
        <f t="shared" si="2"/>
        <v>0</v>
      </c>
      <c r="L79" s="14"/>
      <c r="M79" s="15"/>
      <c r="N79" s="15"/>
      <c r="O79" s="15"/>
      <c r="P79" s="15"/>
      <c r="Q79" s="15"/>
      <c r="R79" s="16">
        <f t="shared" si="3"/>
        <v>0</v>
      </c>
      <c r="S79" s="20"/>
      <c r="T79" s="21" t="e">
        <f>bdrate($D79:$D82,E79:E82,$L79:$L82,M79:M82)</f>
        <v>#VALUE!</v>
      </c>
      <c r="U79" s="22" t="e">
        <f>bdrate($D79:$D82,F79:F82,$L79:$L82,N79:N82)</f>
        <v>#VALUE!</v>
      </c>
      <c r="V79" s="22" t="e">
        <f>bdrate($D79:$D82,G79:G82,$L79:$L82,O79:O82)</f>
        <v>#VALUE!</v>
      </c>
      <c r="W79" s="44" t="e">
        <f>bdrateOld($D79:$D82,E79:E82,$L79:$L82,M79:M82)</f>
        <v>#VALUE!</v>
      </c>
      <c r="X79" s="45" t="e">
        <f>bdrateOld($D79:$D82,F79:F82,$L79:$L82,N79:N82)</f>
        <v>#VALUE!</v>
      </c>
      <c r="Y79" s="46" t="e">
        <f>bdrateOld($D79:$D82,G79:G82,$L79:$L82,O79:O82)</f>
        <v>#VALUE!</v>
      </c>
    </row>
    <row r="80" spans="1:25" x14ac:dyDescent="0.2">
      <c r="A80" s="24"/>
      <c r="B80" s="24"/>
      <c r="C80" s="24">
        <v>27</v>
      </c>
      <c r="D80" s="25"/>
      <c r="E80" s="26"/>
      <c r="F80" s="26"/>
      <c r="G80" s="26"/>
      <c r="H80" s="26"/>
      <c r="I80" s="26"/>
      <c r="J80" s="27">
        <f t="shared" si="2"/>
        <v>0</v>
      </c>
      <c r="L80" s="25"/>
      <c r="M80" s="26"/>
      <c r="N80" s="26"/>
      <c r="O80" s="26"/>
      <c r="P80" s="26"/>
      <c r="Q80" s="26"/>
      <c r="R80" s="27">
        <f t="shared" si="3"/>
        <v>0</v>
      </c>
      <c r="S80" s="20"/>
      <c r="T80" s="31"/>
      <c r="U80" s="32"/>
      <c r="V80" s="32"/>
      <c r="W80" s="31"/>
      <c r="X80" s="32"/>
      <c r="Y80" s="33"/>
    </row>
    <row r="81" spans="1:25" x14ac:dyDescent="0.2">
      <c r="A81" s="24"/>
      <c r="B81" s="24"/>
      <c r="C81" s="24">
        <v>32</v>
      </c>
      <c r="D81" s="25"/>
      <c r="E81" s="26"/>
      <c r="F81" s="26"/>
      <c r="G81" s="26"/>
      <c r="H81" s="26"/>
      <c r="I81" s="26"/>
      <c r="J81" s="27">
        <f t="shared" si="2"/>
        <v>0</v>
      </c>
      <c r="L81" s="25"/>
      <c r="M81" s="26"/>
      <c r="N81" s="26"/>
      <c r="O81" s="26"/>
      <c r="P81" s="26"/>
      <c r="Q81" s="26"/>
      <c r="R81" s="27">
        <f t="shared" si="3"/>
        <v>0</v>
      </c>
      <c r="S81" s="20"/>
      <c r="T81" s="31"/>
      <c r="U81" s="32"/>
      <c r="V81" s="32"/>
      <c r="W81" s="31"/>
      <c r="X81" s="32"/>
      <c r="Y81" s="33"/>
    </row>
    <row r="82" spans="1:25" ht="12.75" thickBot="1" x14ac:dyDescent="0.25">
      <c r="A82" s="34"/>
      <c r="B82" s="34"/>
      <c r="C82" s="34">
        <v>37</v>
      </c>
      <c r="D82" s="35"/>
      <c r="E82" s="36"/>
      <c r="F82" s="36"/>
      <c r="G82" s="36"/>
      <c r="H82" s="36"/>
      <c r="I82" s="36"/>
      <c r="J82" s="37">
        <f t="shared" si="2"/>
        <v>0</v>
      </c>
      <c r="L82" s="35"/>
      <c r="M82" s="36"/>
      <c r="N82" s="36"/>
      <c r="O82" s="36"/>
      <c r="P82" s="36"/>
      <c r="Q82" s="36"/>
      <c r="R82" s="37">
        <f t="shared" si="3"/>
        <v>0</v>
      </c>
      <c r="S82" s="20"/>
      <c r="T82" s="41"/>
      <c r="U82" s="42"/>
      <c r="V82" s="42"/>
      <c r="W82" s="41"/>
      <c r="X82" s="42"/>
      <c r="Y82" s="43"/>
    </row>
    <row r="83" spans="1:25" x14ac:dyDescent="0.2">
      <c r="A83" s="117" t="s">
        <v>61</v>
      </c>
      <c r="B83" s="117" t="s">
        <v>62</v>
      </c>
      <c r="C83" s="117">
        <v>22</v>
      </c>
      <c r="D83" s="14"/>
      <c r="E83" s="15"/>
      <c r="F83" s="15"/>
      <c r="G83" s="15"/>
      <c r="H83" s="15"/>
      <c r="I83" s="15"/>
      <c r="J83" s="16">
        <f t="shared" si="2"/>
        <v>0</v>
      </c>
      <c r="L83" s="14"/>
      <c r="M83" s="15"/>
      <c r="N83" s="15"/>
      <c r="O83" s="15"/>
      <c r="P83" s="15"/>
      <c r="Q83" s="15"/>
      <c r="R83" s="16">
        <f t="shared" si="3"/>
        <v>0</v>
      </c>
      <c r="S83" s="20"/>
      <c r="T83" s="21" t="e">
        <f>bdrate($D83:$D86,E83:E86,$L83:$L86,M83:M86)</f>
        <v>#VALUE!</v>
      </c>
      <c r="U83" s="22" t="e">
        <f>bdrate($D83:$D86,F83:F86,$L83:$L86,N83:N86)</f>
        <v>#VALUE!</v>
      </c>
      <c r="V83" s="22" t="e">
        <f>bdrate($D83:$D86,G83:G86,$L83:$L86,O83:O86)</f>
        <v>#VALUE!</v>
      </c>
      <c r="W83" s="44" t="e">
        <f>bdrateOld($D83:$D86,E83:E86,$L83:$L86,M83:M86)</f>
        <v>#VALUE!</v>
      </c>
      <c r="X83" s="45" t="e">
        <f>bdrateOld($D83:$D86,F83:F86,$L83:$L86,N83:N86)</f>
        <v>#VALUE!</v>
      </c>
      <c r="Y83" s="46" t="e">
        <f>bdrateOld($D83:$D86,G83:G86,$L83:$L86,O83:O86)</f>
        <v>#VALUE!</v>
      </c>
    </row>
    <row r="84" spans="1:25" x14ac:dyDescent="0.2">
      <c r="A84" s="118"/>
      <c r="B84" s="118"/>
      <c r="C84" s="118">
        <v>27</v>
      </c>
      <c r="D84" s="25"/>
      <c r="E84" s="26"/>
      <c r="F84" s="26"/>
      <c r="G84" s="26"/>
      <c r="H84" s="26"/>
      <c r="I84" s="26"/>
      <c r="J84" s="27">
        <f t="shared" si="2"/>
        <v>0</v>
      </c>
      <c r="L84" s="25"/>
      <c r="M84" s="26"/>
      <c r="N84" s="26"/>
      <c r="O84" s="26"/>
      <c r="P84" s="26"/>
      <c r="Q84" s="26"/>
      <c r="R84" s="27">
        <f t="shared" si="3"/>
        <v>0</v>
      </c>
      <c r="S84" s="20"/>
      <c r="T84" s="31"/>
      <c r="U84" s="32"/>
      <c r="V84" s="32"/>
      <c r="W84" s="31"/>
      <c r="X84" s="32"/>
      <c r="Y84" s="33"/>
    </row>
    <row r="85" spans="1:25" x14ac:dyDescent="0.2">
      <c r="A85" s="118"/>
      <c r="B85" s="118"/>
      <c r="C85" s="118">
        <v>32</v>
      </c>
      <c r="D85" s="25"/>
      <c r="E85" s="26"/>
      <c r="F85" s="26"/>
      <c r="G85" s="26"/>
      <c r="H85" s="26"/>
      <c r="I85" s="26"/>
      <c r="J85" s="27">
        <f t="shared" si="2"/>
        <v>0</v>
      </c>
      <c r="L85" s="25"/>
      <c r="M85" s="26"/>
      <c r="N85" s="26"/>
      <c r="O85" s="26"/>
      <c r="P85" s="26"/>
      <c r="Q85" s="26"/>
      <c r="R85" s="27">
        <f t="shared" si="3"/>
        <v>0</v>
      </c>
      <c r="S85" s="20"/>
      <c r="T85" s="31"/>
      <c r="U85" s="32"/>
      <c r="V85" s="32"/>
      <c r="W85" s="31"/>
      <c r="X85" s="32"/>
      <c r="Y85" s="33"/>
    </row>
    <row r="86" spans="1:25" ht="12.75" thickBot="1" x14ac:dyDescent="0.25">
      <c r="A86" s="118"/>
      <c r="B86" s="119"/>
      <c r="C86" s="119">
        <v>37</v>
      </c>
      <c r="D86" s="35"/>
      <c r="E86" s="36"/>
      <c r="F86" s="36"/>
      <c r="G86" s="36"/>
      <c r="H86" s="36"/>
      <c r="I86" s="36"/>
      <c r="J86" s="37">
        <f t="shared" si="2"/>
        <v>0</v>
      </c>
      <c r="L86" s="35"/>
      <c r="M86" s="36"/>
      <c r="N86" s="36"/>
      <c r="O86" s="36"/>
      <c r="P86" s="36"/>
      <c r="Q86" s="36"/>
      <c r="R86" s="37">
        <f t="shared" si="3"/>
        <v>0</v>
      </c>
      <c r="S86" s="20"/>
      <c r="T86" s="41"/>
      <c r="U86" s="42"/>
      <c r="V86" s="42"/>
      <c r="W86" s="41"/>
      <c r="X86" s="42"/>
      <c r="Y86" s="43"/>
    </row>
    <row r="87" spans="1:25" x14ac:dyDescent="0.2">
      <c r="A87" s="118"/>
      <c r="B87" s="117" t="s">
        <v>63</v>
      </c>
      <c r="C87" s="117">
        <v>22</v>
      </c>
      <c r="D87" s="14"/>
      <c r="E87" s="15"/>
      <c r="F87" s="15"/>
      <c r="G87" s="15"/>
      <c r="H87" s="15"/>
      <c r="I87" s="15"/>
      <c r="J87" s="16">
        <f t="shared" si="2"/>
        <v>0</v>
      </c>
      <c r="L87" s="14"/>
      <c r="M87" s="15"/>
      <c r="N87" s="15"/>
      <c r="O87" s="15"/>
      <c r="P87" s="15"/>
      <c r="Q87" s="15"/>
      <c r="R87" s="16">
        <f t="shared" si="3"/>
        <v>0</v>
      </c>
      <c r="S87" s="20"/>
      <c r="T87" s="21" t="e">
        <f>bdrate($D87:$D90,E87:E90,$L87:$L90,M87:M90)</f>
        <v>#VALUE!</v>
      </c>
      <c r="U87" s="22" t="e">
        <f>bdrate($D87:$D90,F87:F90,$L87:$L90,N87:N90)</f>
        <v>#VALUE!</v>
      </c>
      <c r="V87" s="22" t="e">
        <f>bdrate($D87:$D90,G87:G90,$L87:$L90,O87:O90)</f>
        <v>#VALUE!</v>
      </c>
      <c r="W87" s="44" t="e">
        <f>bdrateOld($D87:$D90,E87:E90,$L87:$L90,M87:M90)</f>
        <v>#VALUE!</v>
      </c>
      <c r="X87" s="45" t="e">
        <f>bdrateOld($D87:$D90,F87:F90,$L87:$L90,N87:N90)</f>
        <v>#VALUE!</v>
      </c>
      <c r="Y87" s="46" t="e">
        <f>bdrateOld($D87:$D90,G87:G90,$L87:$L90,O87:O90)</f>
        <v>#VALUE!</v>
      </c>
    </row>
    <row r="88" spans="1:25" x14ac:dyDescent="0.2">
      <c r="A88" s="118"/>
      <c r="B88" s="118"/>
      <c r="C88" s="118">
        <v>27</v>
      </c>
      <c r="D88" s="25"/>
      <c r="E88" s="26"/>
      <c r="F88" s="26"/>
      <c r="G88" s="26"/>
      <c r="H88" s="26"/>
      <c r="I88" s="26"/>
      <c r="J88" s="27">
        <f t="shared" si="2"/>
        <v>0</v>
      </c>
      <c r="L88" s="25"/>
      <c r="M88" s="26"/>
      <c r="N88" s="26"/>
      <c r="O88" s="26"/>
      <c r="P88" s="26"/>
      <c r="Q88" s="26"/>
      <c r="R88" s="27">
        <f t="shared" si="3"/>
        <v>0</v>
      </c>
      <c r="S88" s="20"/>
      <c r="T88" s="31"/>
      <c r="U88" s="32"/>
      <c r="V88" s="32"/>
      <c r="W88" s="31"/>
      <c r="X88" s="32"/>
      <c r="Y88" s="33"/>
    </row>
    <row r="89" spans="1:25" x14ac:dyDescent="0.2">
      <c r="A89" s="118"/>
      <c r="B89" s="118"/>
      <c r="C89" s="118">
        <v>32</v>
      </c>
      <c r="D89" s="25"/>
      <c r="E89" s="26"/>
      <c r="F89" s="26"/>
      <c r="G89" s="26"/>
      <c r="H89" s="26"/>
      <c r="I89" s="26"/>
      <c r="J89" s="27">
        <f t="shared" si="2"/>
        <v>0</v>
      </c>
      <c r="L89" s="25"/>
      <c r="M89" s="26"/>
      <c r="N89" s="26"/>
      <c r="O89" s="26"/>
      <c r="P89" s="26"/>
      <c r="Q89" s="26"/>
      <c r="R89" s="27">
        <f t="shared" si="3"/>
        <v>0</v>
      </c>
      <c r="S89" s="20"/>
      <c r="T89" s="31"/>
      <c r="U89" s="32"/>
      <c r="V89" s="32"/>
      <c r="W89" s="31"/>
      <c r="X89" s="32"/>
      <c r="Y89" s="33"/>
    </row>
    <row r="90" spans="1:25" ht="12.75" thickBot="1" x14ac:dyDescent="0.25">
      <c r="A90" s="118"/>
      <c r="B90" s="119"/>
      <c r="C90" s="119">
        <v>37</v>
      </c>
      <c r="D90" s="35"/>
      <c r="E90" s="36"/>
      <c r="F90" s="36"/>
      <c r="G90" s="36"/>
      <c r="H90" s="36"/>
      <c r="I90" s="36"/>
      <c r="J90" s="37">
        <f t="shared" si="2"/>
        <v>0</v>
      </c>
      <c r="L90" s="35"/>
      <c r="M90" s="36"/>
      <c r="N90" s="36"/>
      <c r="O90" s="36"/>
      <c r="P90" s="36"/>
      <c r="Q90" s="36"/>
      <c r="R90" s="37">
        <f t="shared" si="3"/>
        <v>0</v>
      </c>
      <c r="S90" s="20"/>
      <c r="T90" s="41"/>
      <c r="U90" s="42"/>
      <c r="V90" s="42"/>
      <c r="W90" s="41"/>
      <c r="X90" s="42"/>
      <c r="Y90" s="43"/>
    </row>
    <row r="91" spans="1:25" x14ac:dyDescent="0.2">
      <c r="A91" s="118"/>
      <c r="B91" s="117" t="s">
        <v>64</v>
      </c>
      <c r="C91" s="117">
        <v>22</v>
      </c>
      <c r="D91" s="14"/>
      <c r="E91" s="15"/>
      <c r="F91" s="15"/>
      <c r="G91" s="15"/>
      <c r="H91" s="15"/>
      <c r="I91" s="15"/>
      <c r="J91" s="16">
        <f t="shared" si="2"/>
        <v>0</v>
      </c>
      <c r="L91" s="14"/>
      <c r="M91" s="15"/>
      <c r="N91" s="15"/>
      <c r="O91" s="15"/>
      <c r="P91" s="15"/>
      <c r="Q91" s="15"/>
      <c r="R91" s="16">
        <f t="shared" si="3"/>
        <v>0</v>
      </c>
      <c r="S91" s="20"/>
      <c r="T91" s="21" t="e">
        <f>bdrate($D91:$D94,E91:E94,$L91:$L94,M91:M94)</f>
        <v>#VALUE!</v>
      </c>
      <c r="U91" s="22" t="e">
        <f>bdrate($D91:$D94,F91:F94,$L91:$L94,N91:N94)</f>
        <v>#VALUE!</v>
      </c>
      <c r="V91" s="22" t="e">
        <f>bdrate($D91:$D94,G91:G94,$L91:$L94,O91:O94)</f>
        <v>#VALUE!</v>
      </c>
      <c r="W91" s="44" t="e">
        <f>bdrateOld($D91:$D94,E91:E94,$L91:$L94,M91:M94)</f>
        <v>#VALUE!</v>
      </c>
      <c r="X91" s="45" t="e">
        <f>bdrateOld($D91:$D94,F91:F94,$L91:$L94,N91:N94)</f>
        <v>#VALUE!</v>
      </c>
      <c r="Y91" s="46" t="e">
        <f>bdrateOld($D91:$D94,G91:G94,$L91:$L94,O91:O94)</f>
        <v>#VALUE!</v>
      </c>
    </row>
    <row r="92" spans="1:25" x14ac:dyDescent="0.2">
      <c r="A92" s="118"/>
      <c r="B92" s="118"/>
      <c r="C92" s="118">
        <v>27</v>
      </c>
      <c r="D92" s="25"/>
      <c r="E92" s="26"/>
      <c r="F92" s="26"/>
      <c r="G92" s="26"/>
      <c r="H92" s="26"/>
      <c r="I92" s="26"/>
      <c r="J92" s="27">
        <f t="shared" si="2"/>
        <v>0</v>
      </c>
      <c r="L92" s="25"/>
      <c r="M92" s="26"/>
      <c r="N92" s="26"/>
      <c r="O92" s="26"/>
      <c r="P92" s="26"/>
      <c r="Q92" s="26"/>
      <c r="R92" s="27">
        <f t="shared" si="3"/>
        <v>0</v>
      </c>
      <c r="S92" s="20"/>
      <c r="T92" s="31"/>
      <c r="U92" s="32"/>
      <c r="V92" s="32"/>
      <c r="W92" s="31"/>
      <c r="X92" s="32"/>
      <c r="Y92" s="33"/>
    </row>
    <row r="93" spans="1:25" x14ac:dyDescent="0.2">
      <c r="A93" s="118"/>
      <c r="B93" s="118"/>
      <c r="C93" s="118">
        <v>32</v>
      </c>
      <c r="D93" s="25"/>
      <c r="E93" s="26"/>
      <c r="F93" s="26"/>
      <c r="G93" s="26"/>
      <c r="H93" s="26"/>
      <c r="I93" s="26"/>
      <c r="J93" s="27">
        <f t="shared" si="2"/>
        <v>0</v>
      </c>
      <c r="L93" s="25"/>
      <c r="M93" s="26"/>
      <c r="N93" s="26"/>
      <c r="O93" s="26"/>
      <c r="P93" s="26"/>
      <c r="Q93" s="26"/>
      <c r="R93" s="27">
        <f t="shared" si="3"/>
        <v>0</v>
      </c>
      <c r="S93" s="20"/>
      <c r="T93" s="31"/>
      <c r="U93" s="32"/>
      <c r="V93" s="32"/>
      <c r="W93" s="31"/>
      <c r="X93" s="32"/>
      <c r="Y93" s="33"/>
    </row>
    <row r="94" spans="1:25" ht="12.75" thickBot="1" x14ac:dyDescent="0.25">
      <c r="A94" s="118"/>
      <c r="B94" s="119"/>
      <c r="C94" s="119">
        <v>37</v>
      </c>
      <c r="D94" s="35"/>
      <c r="E94" s="36"/>
      <c r="F94" s="36"/>
      <c r="G94" s="36"/>
      <c r="H94" s="36"/>
      <c r="I94" s="36"/>
      <c r="J94" s="37">
        <f t="shared" si="2"/>
        <v>0</v>
      </c>
      <c r="L94" s="35"/>
      <c r="M94" s="36"/>
      <c r="N94" s="36"/>
      <c r="O94" s="36"/>
      <c r="P94" s="36"/>
      <c r="Q94" s="36"/>
      <c r="R94" s="37">
        <f t="shared" si="3"/>
        <v>0</v>
      </c>
      <c r="S94" s="20"/>
      <c r="T94" s="41"/>
      <c r="U94" s="42"/>
      <c r="V94" s="42"/>
      <c r="W94" s="41"/>
      <c r="X94" s="42"/>
      <c r="Y94" s="43"/>
    </row>
    <row r="95" spans="1:25" x14ac:dyDescent="0.2">
      <c r="A95" s="118"/>
      <c r="B95" s="117" t="s">
        <v>65</v>
      </c>
      <c r="C95" s="117">
        <v>22</v>
      </c>
      <c r="D95" s="14"/>
      <c r="E95" s="15"/>
      <c r="F95" s="15"/>
      <c r="G95" s="15"/>
      <c r="H95" s="15"/>
      <c r="I95" s="15"/>
      <c r="J95" s="16">
        <f t="shared" si="2"/>
        <v>0</v>
      </c>
      <c r="L95" s="14"/>
      <c r="M95" s="15"/>
      <c r="N95" s="15"/>
      <c r="O95" s="15"/>
      <c r="P95" s="15"/>
      <c r="Q95" s="15"/>
      <c r="R95" s="16">
        <f t="shared" si="3"/>
        <v>0</v>
      </c>
      <c r="S95" s="20"/>
      <c r="T95" s="21" t="e">
        <f>bdrate($D95:$D98,E95:E98,$L95:$L98,M95:M98)</f>
        <v>#VALUE!</v>
      </c>
      <c r="U95" s="22" t="e">
        <f>bdrate($D95:$D98,F95:F98,$L95:$L98,N95:N98)</f>
        <v>#VALUE!</v>
      </c>
      <c r="V95" s="22" t="e">
        <f>bdrate($D95:$D98,G95:G98,$L95:$L98,O95:O98)</f>
        <v>#VALUE!</v>
      </c>
      <c r="W95" s="44" t="e">
        <f>bdrateOld($D95:$D98,E95:E98,$L95:$L98,M95:M98)</f>
        <v>#VALUE!</v>
      </c>
      <c r="X95" s="45" t="e">
        <f>bdrateOld($D95:$D98,F95:F98,$L95:$L98,N95:N98)</f>
        <v>#VALUE!</v>
      </c>
      <c r="Y95" s="46" t="e">
        <f>bdrateOld($D95:$D98,G95:G98,$L95:$L98,O95:O98)</f>
        <v>#VALUE!</v>
      </c>
    </row>
    <row r="96" spans="1:25" x14ac:dyDescent="0.2">
      <c r="A96" s="118"/>
      <c r="B96" s="118"/>
      <c r="C96" s="118">
        <v>27</v>
      </c>
      <c r="D96" s="25"/>
      <c r="E96" s="26"/>
      <c r="F96" s="26"/>
      <c r="G96" s="26"/>
      <c r="H96" s="26"/>
      <c r="I96" s="26"/>
      <c r="J96" s="27">
        <f t="shared" si="2"/>
        <v>0</v>
      </c>
      <c r="L96" s="25"/>
      <c r="M96" s="26"/>
      <c r="N96" s="26"/>
      <c r="O96" s="26"/>
      <c r="P96" s="26"/>
      <c r="Q96" s="26"/>
      <c r="R96" s="27">
        <f t="shared" si="3"/>
        <v>0</v>
      </c>
      <c r="S96" s="20"/>
      <c r="T96" s="31"/>
      <c r="U96" s="32"/>
      <c r="V96" s="32"/>
      <c r="W96" s="31"/>
      <c r="X96" s="32"/>
      <c r="Y96" s="33"/>
    </row>
    <row r="97" spans="1:25" x14ac:dyDescent="0.2">
      <c r="A97" s="118"/>
      <c r="B97" s="118"/>
      <c r="C97" s="118">
        <v>32</v>
      </c>
      <c r="D97" s="25"/>
      <c r="E97" s="26"/>
      <c r="F97" s="26"/>
      <c r="G97" s="26"/>
      <c r="H97" s="26"/>
      <c r="I97" s="26"/>
      <c r="J97" s="27">
        <f t="shared" si="2"/>
        <v>0</v>
      </c>
      <c r="L97" s="25"/>
      <c r="M97" s="26"/>
      <c r="N97" s="26"/>
      <c r="O97" s="26"/>
      <c r="P97" s="26"/>
      <c r="Q97" s="26"/>
      <c r="R97" s="27">
        <f t="shared" si="3"/>
        <v>0</v>
      </c>
      <c r="S97" s="20"/>
      <c r="T97" s="31"/>
      <c r="U97" s="32"/>
      <c r="V97" s="32"/>
      <c r="W97" s="31"/>
      <c r="X97" s="32"/>
      <c r="Y97" s="33"/>
    </row>
    <row r="98" spans="1:25" ht="12.75" thickBot="1" x14ac:dyDescent="0.25">
      <c r="A98" s="119"/>
      <c r="B98" s="119"/>
      <c r="C98" s="119">
        <v>37</v>
      </c>
      <c r="D98" s="35"/>
      <c r="E98" s="36"/>
      <c r="F98" s="36"/>
      <c r="G98" s="36"/>
      <c r="H98" s="36"/>
      <c r="I98" s="36"/>
      <c r="J98" s="37">
        <f t="shared" si="2"/>
        <v>0</v>
      </c>
      <c r="L98" s="35"/>
      <c r="M98" s="36"/>
      <c r="N98" s="36"/>
      <c r="O98" s="36"/>
      <c r="P98" s="36"/>
      <c r="Q98" s="36"/>
      <c r="R98" s="37">
        <f t="shared" si="3"/>
        <v>0</v>
      </c>
      <c r="S98" s="20"/>
      <c r="T98" s="31"/>
      <c r="U98" s="32"/>
      <c r="V98" s="32"/>
      <c r="W98" s="31"/>
      <c r="X98" s="32"/>
      <c r="Y98" s="33"/>
    </row>
    <row r="99" spans="1:25" x14ac:dyDescent="0.2">
      <c r="B99" s="1" t="s">
        <v>2</v>
      </c>
      <c r="T99" s="21" t="e">
        <f t="shared" ref="T99:Y99" si="4">AVERAGE(T3,T7,T11,T15)</f>
        <v>#VALUE!</v>
      </c>
      <c r="U99" s="22" t="e">
        <f t="shared" si="4"/>
        <v>#VALUE!</v>
      </c>
      <c r="V99" s="22" t="e">
        <f t="shared" si="4"/>
        <v>#VALUE!</v>
      </c>
      <c r="W99" s="21" t="e">
        <f t="shared" si="4"/>
        <v>#VALUE!</v>
      </c>
      <c r="X99" s="22" t="e">
        <f t="shared" si="4"/>
        <v>#VALUE!</v>
      </c>
      <c r="Y99" s="23" t="e">
        <f t="shared" si="4"/>
        <v>#VALUE!</v>
      </c>
    </row>
    <row r="100" spans="1:25" x14ac:dyDescent="0.2">
      <c r="B100" s="1" t="s">
        <v>7</v>
      </c>
      <c r="T100" s="44" t="e">
        <f t="shared" ref="T100:Y100" si="5">AVERAGE(T19,T23,T27,T31,T35)</f>
        <v>#VALUE!</v>
      </c>
      <c r="U100" s="45" t="e">
        <f t="shared" si="5"/>
        <v>#VALUE!</v>
      </c>
      <c r="V100" s="45" t="e">
        <f t="shared" si="5"/>
        <v>#VALUE!</v>
      </c>
      <c r="W100" s="44" t="e">
        <f t="shared" si="5"/>
        <v>#VALUE!</v>
      </c>
      <c r="X100" s="45" t="e">
        <f t="shared" si="5"/>
        <v>#VALUE!</v>
      </c>
      <c r="Y100" s="46" t="e">
        <f t="shared" si="5"/>
        <v>#VALUE!</v>
      </c>
    </row>
    <row r="101" spans="1:25" x14ac:dyDescent="0.2">
      <c r="B101" s="1" t="s">
        <v>14</v>
      </c>
      <c r="T101" s="44" t="e">
        <f t="shared" ref="T101:Y101" si="6">AVERAGE(T39,T43,T47,T51)</f>
        <v>#VALUE!</v>
      </c>
      <c r="U101" s="45" t="e">
        <f t="shared" si="6"/>
        <v>#VALUE!</v>
      </c>
      <c r="V101" s="45" t="e">
        <f t="shared" si="6"/>
        <v>#VALUE!</v>
      </c>
      <c r="W101" s="44" t="e">
        <f t="shared" si="6"/>
        <v>#VALUE!</v>
      </c>
      <c r="X101" s="45" t="e">
        <f t="shared" si="6"/>
        <v>#VALUE!</v>
      </c>
      <c r="Y101" s="46" t="e">
        <f t="shared" si="6"/>
        <v>#VALUE!</v>
      </c>
    </row>
    <row r="102" spans="1:25" x14ac:dyDescent="0.2">
      <c r="B102" s="1" t="s">
        <v>20</v>
      </c>
      <c r="T102" s="44" t="e">
        <f t="shared" ref="T102:Y102" si="7">AVERAGE(T55,T59,T63,T67)</f>
        <v>#VALUE!</v>
      </c>
      <c r="U102" s="45" t="e">
        <f t="shared" si="7"/>
        <v>#VALUE!</v>
      </c>
      <c r="V102" s="45" t="e">
        <f t="shared" si="7"/>
        <v>#VALUE!</v>
      </c>
      <c r="W102" s="44" t="e">
        <f t="shared" si="7"/>
        <v>#VALUE!</v>
      </c>
      <c r="X102" s="45" t="e">
        <f t="shared" si="7"/>
        <v>#VALUE!</v>
      </c>
      <c r="Y102" s="46" t="e">
        <f t="shared" si="7"/>
        <v>#VALUE!</v>
      </c>
    </row>
    <row r="103" spans="1:25" x14ac:dyDescent="0.2">
      <c r="B103" s="1" t="s">
        <v>27</v>
      </c>
      <c r="T103" s="44" t="e">
        <f t="shared" ref="T103:Y103" si="8">AVERAGE(T71,T75,T79)</f>
        <v>#VALUE!</v>
      </c>
      <c r="U103" s="45" t="e">
        <f t="shared" si="8"/>
        <v>#VALUE!</v>
      </c>
      <c r="V103" s="45" t="e">
        <f t="shared" si="8"/>
        <v>#VALUE!</v>
      </c>
      <c r="W103" s="44" t="e">
        <f t="shared" si="8"/>
        <v>#VALUE!</v>
      </c>
      <c r="X103" s="45" t="e">
        <f t="shared" si="8"/>
        <v>#VALUE!</v>
      </c>
      <c r="Y103" s="46" t="e">
        <f t="shared" si="8"/>
        <v>#VALUE!</v>
      </c>
    </row>
    <row r="104" spans="1:25" ht="12.75" thickBot="1" x14ac:dyDescent="0.25">
      <c r="B104" s="1" t="s">
        <v>66</v>
      </c>
      <c r="T104" s="48" t="e">
        <f t="shared" ref="T104:Y104" si="9">AVERAGE(T83,T87,T91,T95)</f>
        <v>#VALUE!</v>
      </c>
      <c r="U104" s="49" t="e">
        <f t="shared" si="9"/>
        <v>#VALUE!</v>
      </c>
      <c r="V104" s="49" t="e">
        <f t="shared" si="9"/>
        <v>#VALUE!</v>
      </c>
      <c r="W104" s="48" t="e">
        <f t="shared" si="9"/>
        <v>#VALUE!</v>
      </c>
      <c r="X104" s="49" t="e">
        <f t="shared" si="9"/>
        <v>#VALUE!</v>
      </c>
      <c r="Y104" s="50" t="e">
        <f t="shared" si="9"/>
        <v>#VALUE!</v>
      </c>
    </row>
    <row r="105" spans="1:25" ht="12.75" thickBot="1" x14ac:dyDescent="0.25">
      <c r="A105" s="3"/>
      <c r="B105" s="4" t="s">
        <v>28</v>
      </c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1" t="e">
        <f t="shared" ref="T105:Y105" si="10">AVERAGE(T3:T98)</f>
        <v>#VALUE!</v>
      </c>
      <c r="U105" s="52" t="e">
        <f t="shared" si="10"/>
        <v>#VALUE!</v>
      </c>
      <c r="V105" s="53" t="e">
        <f t="shared" si="10"/>
        <v>#VALUE!</v>
      </c>
      <c r="W105" s="52" t="e">
        <f t="shared" si="10"/>
        <v>#VALUE!</v>
      </c>
      <c r="X105" s="52" t="e">
        <f t="shared" si="10"/>
        <v>#VALUE!</v>
      </c>
      <c r="Y105" s="53" t="e">
        <f t="shared" si="10"/>
        <v>#VALUE!</v>
      </c>
    </row>
    <row r="106" spans="1:25" x14ac:dyDescent="0.2">
      <c r="B106" s="1" t="s">
        <v>29</v>
      </c>
      <c r="I106" s="54" t="e">
        <f>GEOMEAN(I3:I98)</f>
        <v>#NUM!</v>
      </c>
      <c r="J106" s="54" t="e">
        <f>GEOMEAN(J3:J98)</f>
        <v>#NUM!</v>
      </c>
      <c r="Q106" s="54" t="e">
        <f>GEOMEAN(Q3:Q98)</f>
        <v>#NUM!</v>
      </c>
      <c r="R106" s="54" t="e">
        <f>GEOMEAN(R3:R98)</f>
        <v>#NUM!</v>
      </c>
    </row>
    <row r="107" spans="1:25" x14ac:dyDescent="0.2">
      <c r="B107" s="1" t="s">
        <v>30</v>
      </c>
      <c r="Q107" s="55" t="e">
        <f>Q106/I106</f>
        <v>#NUM!</v>
      </c>
      <c r="R107" s="55" t="e">
        <f>R106/J106</f>
        <v>#NUM!</v>
      </c>
    </row>
    <row r="108" spans="1:25" x14ac:dyDescent="0.2">
      <c r="B108" s="1" t="s">
        <v>31</v>
      </c>
      <c r="I108" s="54">
        <f>SUM(I3:I98)/3600</f>
        <v>0</v>
      </c>
      <c r="J108" s="54">
        <f>SUM(J3:J98)</f>
        <v>0</v>
      </c>
      <c r="Q108" s="54">
        <f>SUM(Q3:Q98)/3600</f>
        <v>0</v>
      </c>
      <c r="R108" s="54">
        <f>SUM(R3:R98)</f>
        <v>0</v>
      </c>
    </row>
    <row r="111" spans="1:25" ht="12.75" thickBot="1" x14ac:dyDescent="0.25">
      <c r="B111" s="1" t="s">
        <v>71</v>
      </c>
      <c r="T111" s="48" t="e">
        <f t="shared" ref="T111:Y111" si="11">AVERAGE(T3,T7)</f>
        <v>#VALUE!</v>
      </c>
      <c r="U111" s="49" t="e">
        <f t="shared" si="11"/>
        <v>#VALUE!</v>
      </c>
      <c r="V111" s="49" t="e">
        <f t="shared" si="11"/>
        <v>#VALUE!</v>
      </c>
      <c r="W111" s="48" t="e">
        <f t="shared" si="11"/>
        <v>#VALUE!</v>
      </c>
      <c r="X111" s="49" t="e">
        <f t="shared" si="11"/>
        <v>#VALUE!</v>
      </c>
      <c r="Y111" s="50" t="e">
        <f t="shared" si="11"/>
        <v>#VALUE!</v>
      </c>
    </row>
    <row r="112" spans="1:25" ht="12.75" thickBot="1" x14ac:dyDescent="0.25">
      <c r="A112" s="3"/>
      <c r="B112" s="4" t="s">
        <v>72</v>
      </c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48" t="e">
        <f t="shared" ref="T112:Y112" si="12">AVERAGE(T3,T7,T11,T15,T19,T23,T27,T31,T35,T39,T43,T47,T51,T55,T59,T63,T67,T71,T75,T79)</f>
        <v>#VALUE!</v>
      </c>
      <c r="U112" s="49" t="e">
        <f t="shared" si="12"/>
        <v>#VALUE!</v>
      </c>
      <c r="V112" s="50" t="e">
        <f t="shared" si="12"/>
        <v>#VALUE!</v>
      </c>
      <c r="W112" s="49" t="e">
        <f t="shared" si="12"/>
        <v>#VALUE!</v>
      </c>
      <c r="X112" s="49" t="e">
        <f t="shared" si="12"/>
        <v>#VALUE!</v>
      </c>
      <c r="Y112" s="50" t="e">
        <f t="shared" si="12"/>
        <v>#VALUE!</v>
      </c>
    </row>
    <row r="113" spans="2:18" x14ac:dyDescent="0.2">
      <c r="B113" s="1" t="s">
        <v>29</v>
      </c>
      <c r="I113" s="54" t="e">
        <f>GEOMEAN(I3:I82)</f>
        <v>#NUM!</v>
      </c>
      <c r="J113" s="54" t="e">
        <f>GEOMEAN(J3:J82)</f>
        <v>#NUM!</v>
      </c>
      <c r="Q113" s="54" t="e">
        <f>GEOMEAN(Q3:Q82)</f>
        <v>#NUM!</v>
      </c>
      <c r="R113" s="54" t="e">
        <f>GEOMEAN(R3:R82)</f>
        <v>#NUM!</v>
      </c>
    </row>
    <row r="114" spans="2:18" x14ac:dyDescent="0.2">
      <c r="B114" s="1" t="s">
        <v>30</v>
      </c>
      <c r="Q114" s="55" t="e">
        <f>Q113/I113</f>
        <v>#NUM!</v>
      </c>
      <c r="R114" s="55" t="e">
        <f>R113/J113</f>
        <v>#NUM!</v>
      </c>
    </row>
  </sheetData>
  <mergeCells count="4">
    <mergeCell ref="D1:J1"/>
    <mergeCell ref="L1:R1"/>
    <mergeCell ref="T1:V1"/>
    <mergeCell ref="W1:Y1"/>
  </mergeCells>
  <phoneticPr fontId="2" type="noConversion"/>
  <conditionalFormatting sqref="W78:X78">
    <cfRule type="cellIs" dxfId="845" priority="65" operator="greaterThan">
      <formula>0.03</formula>
    </cfRule>
    <cfRule type="cellIs" dxfId="844" priority="66" stopIfTrue="1" operator="lessThan">
      <formula>-0.03</formula>
    </cfRule>
  </conditionalFormatting>
  <conditionalFormatting sqref="T3:V82 T105:V105">
    <cfRule type="cellIs" dxfId="843" priority="225" operator="greaterThan">
      <formula>0.03</formula>
    </cfRule>
    <cfRule type="cellIs" dxfId="842" priority="226" stopIfTrue="1" operator="lessThan">
      <formula>-0.03</formula>
    </cfRule>
  </conditionalFormatting>
  <conditionalFormatting sqref="W3">
    <cfRule type="cellIs" dxfId="841" priority="223" operator="greaterThan">
      <formula>0.03</formula>
    </cfRule>
    <cfRule type="cellIs" dxfId="840" priority="224" stopIfTrue="1" operator="lessThan">
      <formula>-0.03</formula>
    </cfRule>
  </conditionalFormatting>
  <conditionalFormatting sqref="X3">
    <cfRule type="cellIs" dxfId="839" priority="221" operator="greaterThan">
      <formula>0.03</formula>
    </cfRule>
    <cfRule type="cellIs" dxfId="838" priority="222" stopIfTrue="1" operator="lessThan">
      <formula>-0.03</formula>
    </cfRule>
  </conditionalFormatting>
  <conditionalFormatting sqref="Y3">
    <cfRule type="cellIs" dxfId="837" priority="219" operator="greaterThan">
      <formula>0.03</formula>
    </cfRule>
    <cfRule type="cellIs" dxfId="836" priority="220" stopIfTrue="1" operator="lessThan">
      <formula>-0.03</formula>
    </cfRule>
  </conditionalFormatting>
  <conditionalFormatting sqref="W7">
    <cfRule type="cellIs" dxfId="835" priority="217" operator="greaterThan">
      <formula>0.03</formula>
    </cfRule>
    <cfRule type="cellIs" dxfId="834" priority="218" stopIfTrue="1" operator="lessThan">
      <formula>-0.03</formula>
    </cfRule>
  </conditionalFormatting>
  <conditionalFormatting sqref="X7">
    <cfRule type="cellIs" dxfId="833" priority="215" operator="greaterThan">
      <formula>0.03</formula>
    </cfRule>
    <cfRule type="cellIs" dxfId="832" priority="216" stopIfTrue="1" operator="lessThan">
      <formula>-0.03</formula>
    </cfRule>
  </conditionalFormatting>
  <conditionalFormatting sqref="Y7">
    <cfRule type="cellIs" dxfId="831" priority="213" operator="greaterThan">
      <formula>0.03</formula>
    </cfRule>
    <cfRule type="cellIs" dxfId="830" priority="214" stopIfTrue="1" operator="lessThan">
      <formula>-0.03</formula>
    </cfRule>
  </conditionalFormatting>
  <conditionalFormatting sqref="W11">
    <cfRule type="cellIs" dxfId="829" priority="211" operator="greaterThan">
      <formula>0.03</formula>
    </cfRule>
    <cfRule type="cellIs" dxfId="828" priority="212" stopIfTrue="1" operator="lessThan">
      <formula>-0.03</formula>
    </cfRule>
  </conditionalFormatting>
  <conditionalFormatting sqref="X11">
    <cfRule type="cellIs" dxfId="827" priority="209" operator="greaterThan">
      <formula>0.03</formula>
    </cfRule>
    <cfRule type="cellIs" dxfId="826" priority="210" stopIfTrue="1" operator="lessThan">
      <formula>-0.03</formula>
    </cfRule>
  </conditionalFormatting>
  <conditionalFormatting sqref="Y11">
    <cfRule type="cellIs" dxfId="825" priority="207" operator="greaterThan">
      <formula>0.03</formula>
    </cfRule>
    <cfRule type="cellIs" dxfId="824" priority="208" stopIfTrue="1" operator="lessThan">
      <formula>-0.03</formula>
    </cfRule>
  </conditionalFormatting>
  <conditionalFormatting sqref="W15">
    <cfRule type="cellIs" dxfId="823" priority="205" operator="greaterThan">
      <formula>0.03</formula>
    </cfRule>
    <cfRule type="cellIs" dxfId="822" priority="206" stopIfTrue="1" operator="lessThan">
      <formula>-0.03</formula>
    </cfRule>
  </conditionalFormatting>
  <conditionalFormatting sqref="X15">
    <cfRule type="cellIs" dxfId="821" priority="203" operator="greaterThan">
      <formula>0.03</formula>
    </cfRule>
    <cfRule type="cellIs" dxfId="820" priority="204" stopIfTrue="1" operator="lessThan">
      <formula>-0.03</formula>
    </cfRule>
  </conditionalFormatting>
  <conditionalFormatting sqref="Y15">
    <cfRule type="cellIs" dxfId="819" priority="201" operator="greaterThan">
      <formula>0.03</formula>
    </cfRule>
    <cfRule type="cellIs" dxfId="818" priority="202" stopIfTrue="1" operator="lessThan">
      <formula>-0.03</formula>
    </cfRule>
  </conditionalFormatting>
  <conditionalFormatting sqref="W19">
    <cfRule type="cellIs" dxfId="817" priority="199" operator="greaterThan">
      <formula>0.03</formula>
    </cfRule>
    <cfRule type="cellIs" dxfId="816" priority="200" stopIfTrue="1" operator="lessThan">
      <formula>-0.03</formula>
    </cfRule>
  </conditionalFormatting>
  <conditionalFormatting sqref="X19">
    <cfRule type="cellIs" dxfId="815" priority="197" operator="greaterThan">
      <formula>0.03</formula>
    </cfRule>
    <cfRule type="cellIs" dxfId="814" priority="198" stopIfTrue="1" operator="lessThan">
      <formula>-0.03</formula>
    </cfRule>
  </conditionalFormatting>
  <conditionalFormatting sqref="Y19">
    <cfRule type="cellIs" dxfId="813" priority="195" operator="greaterThan">
      <formula>0.03</formula>
    </cfRule>
    <cfRule type="cellIs" dxfId="812" priority="196" stopIfTrue="1" operator="lessThan">
      <formula>-0.03</formula>
    </cfRule>
  </conditionalFormatting>
  <conditionalFormatting sqref="W23">
    <cfRule type="cellIs" dxfId="811" priority="193" operator="greaterThan">
      <formula>0.03</formula>
    </cfRule>
    <cfRule type="cellIs" dxfId="810" priority="194" stopIfTrue="1" operator="lessThan">
      <formula>-0.03</formula>
    </cfRule>
  </conditionalFormatting>
  <conditionalFormatting sqref="X23">
    <cfRule type="cellIs" dxfId="809" priority="191" operator="greaterThan">
      <formula>0.03</formula>
    </cfRule>
    <cfRule type="cellIs" dxfId="808" priority="192" stopIfTrue="1" operator="lessThan">
      <formula>-0.03</formula>
    </cfRule>
  </conditionalFormatting>
  <conditionalFormatting sqref="Y23">
    <cfRule type="cellIs" dxfId="807" priority="189" operator="greaterThan">
      <formula>0.03</formula>
    </cfRule>
    <cfRule type="cellIs" dxfId="806" priority="190" stopIfTrue="1" operator="lessThan">
      <formula>-0.03</formula>
    </cfRule>
  </conditionalFormatting>
  <conditionalFormatting sqref="W27">
    <cfRule type="cellIs" dxfId="805" priority="187" operator="greaterThan">
      <formula>0.03</formula>
    </cfRule>
    <cfRule type="cellIs" dxfId="804" priority="188" stopIfTrue="1" operator="lessThan">
      <formula>-0.03</formula>
    </cfRule>
  </conditionalFormatting>
  <conditionalFormatting sqref="X27">
    <cfRule type="cellIs" dxfId="803" priority="185" operator="greaterThan">
      <formula>0.03</formula>
    </cfRule>
    <cfRule type="cellIs" dxfId="802" priority="186" stopIfTrue="1" operator="lessThan">
      <formula>-0.03</formula>
    </cfRule>
  </conditionalFormatting>
  <conditionalFormatting sqref="Y27">
    <cfRule type="cellIs" dxfId="801" priority="183" operator="greaterThan">
      <formula>0.03</formula>
    </cfRule>
    <cfRule type="cellIs" dxfId="800" priority="184" stopIfTrue="1" operator="lessThan">
      <formula>-0.03</formula>
    </cfRule>
  </conditionalFormatting>
  <conditionalFormatting sqref="W31">
    <cfRule type="cellIs" dxfId="799" priority="181" operator="greaterThan">
      <formula>0.03</formula>
    </cfRule>
    <cfRule type="cellIs" dxfId="798" priority="182" stopIfTrue="1" operator="lessThan">
      <formula>-0.03</formula>
    </cfRule>
  </conditionalFormatting>
  <conditionalFormatting sqref="X31">
    <cfRule type="cellIs" dxfId="797" priority="179" operator="greaterThan">
      <formula>0.03</formula>
    </cfRule>
    <cfRule type="cellIs" dxfId="796" priority="180" stopIfTrue="1" operator="lessThan">
      <formula>-0.03</formula>
    </cfRule>
  </conditionalFormatting>
  <conditionalFormatting sqref="Y31">
    <cfRule type="cellIs" dxfId="795" priority="177" operator="greaterThan">
      <formula>0.03</formula>
    </cfRule>
    <cfRule type="cellIs" dxfId="794" priority="178" stopIfTrue="1" operator="lessThan">
      <formula>-0.03</formula>
    </cfRule>
  </conditionalFormatting>
  <conditionalFormatting sqref="W35">
    <cfRule type="cellIs" dxfId="793" priority="175" operator="greaterThan">
      <formula>0.03</formula>
    </cfRule>
    <cfRule type="cellIs" dxfId="792" priority="176" stopIfTrue="1" operator="lessThan">
      <formula>-0.03</formula>
    </cfRule>
  </conditionalFormatting>
  <conditionalFormatting sqref="X35">
    <cfRule type="cellIs" dxfId="791" priority="173" operator="greaterThan">
      <formula>0.03</formula>
    </cfRule>
    <cfRule type="cellIs" dxfId="790" priority="174" stopIfTrue="1" operator="lessThan">
      <formula>-0.03</formula>
    </cfRule>
  </conditionalFormatting>
  <conditionalFormatting sqref="Y35">
    <cfRule type="cellIs" dxfId="789" priority="171" operator="greaterThan">
      <formula>0.03</formula>
    </cfRule>
    <cfRule type="cellIs" dxfId="788" priority="172" stopIfTrue="1" operator="lessThan">
      <formula>-0.03</formula>
    </cfRule>
  </conditionalFormatting>
  <conditionalFormatting sqref="W39">
    <cfRule type="cellIs" dxfId="787" priority="169" operator="greaterThan">
      <formula>0.03</formula>
    </cfRule>
    <cfRule type="cellIs" dxfId="786" priority="170" stopIfTrue="1" operator="lessThan">
      <formula>-0.03</formula>
    </cfRule>
  </conditionalFormatting>
  <conditionalFormatting sqref="X39">
    <cfRule type="cellIs" dxfId="785" priority="167" operator="greaterThan">
      <formula>0.03</formula>
    </cfRule>
    <cfRule type="cellIs" dxfId="784" priority="168" stopIfTrue="1" operator="lessThan">
      <formula>-0.03</formula>
    </cfRule>
  </conditionalFormatting>
  <conditionalFormatting sqref="Y39">
    <cfRule type="cellIs" dxfId="783" priority="165" operator="greaterThan">
      <formula>0.03</formula>
    </cfRule>
    <cfRule type="cellIs" dxfId="782" priority="166" stopIfTrue="1" operator="lessThan">
      <formula>-0.03</formula>
    </cfRule>
  </conditionalFormatting>
  <conditionalFormatting sqref="W43">
    <cfRule type="cellIs" dxfId="781" priority="163" operator="greaterThan">
      <formula>0.03</formula>
    </cfRule>
    <cfRule type="cellIs" dxfId="780" priority="164" stopIfTrue="1" operator="lessThan">
      <formula>-0.03</formula>
    </cfRule>
  </conditionalFormatting>
  <conditionalFormatting sqref="X43">
    <cfRule type="cellIs" dxfId="779" priority="161" operator="greaterThan">
      <formula>0.03</formula>
    </cfRule>
    <cfRule type="cellIs" dxfId="778" priority="162" stopIfTrue="1" operator="lessThan">
      <formula>-0.03</formula>
    </cfRule>
  </conditionalFormatting>
  <conditionalFormatting sqref="Y43">
    <cfRule type="cellIs" dxfId="777" priority="159" operator="greaterThan">
      <formula>0.03</formula>
    </cfRule>
    <cfRule type="cellIs" dxfId="776" priority="160" stopIfTrue="1" operator="lessThan">
      <formula>-0.03</formula>
    </cfRule>
  </conditionalFormatting>
  <conditionalFormatting sqref="W47">
    <cfRule type="cellIs" dxfId="775" priority="157" operator="greaterThan">
      <formula>0.03</formula>
    </cfRule>
    <cfRule type="cellIs" dxfId="774" priority="158" stopIfTrue="1" operator="lessThan">
      <formula>-0.03</formula>
    </cfRule>
  </conditionalFormatting>
  <conditionalFormatting sqref="X47">
    <cfRule type="cellIs" dxfId="773" priority="155" operator="greaterThan">
      <formula>0.03</formula>
    </cfRule>
    <cfRule type="cellIs" dxfId="772" priority="156" stopIfTrue="1" operator="lessThan">
      <formula>-0.03</formula>
    </cfRule>
  </conditionalFormatting>
  <conditionalFormatting sqref="Y47">
    <cfRule type="cellIs" dxfId="771" priority="153" operator="greaterThan">
      <formula>0.03</formula>
    </cfRule>
    <cfRule type="cellIs" dxfId="770" priority="154" stopIfTrue="1" operator="lessThan">
      <formula>-0.03</formula>
    </cfRule>
  </conditionalFormatting>
  <conditionalFormatting sqref="W51">
    <cfRule type="cellIs" dxfId="769" priority="151" operator="greaterThan">
      <formula>0.03</formula>
    </cfRule>
    <cfRule type="cellIs" dxfId="768" priority="152" stopIfTrue="1" operator="lessThan">
      <formula>-0.03</formula>
    </cfRule>
  </conditionalFormatting>
  <conditionalFormatting sqref="X51">
    <cfRule type="cellIs" dxfId="767" priority="149" operator="greaterThan">
      <formula>0.03</formula>
    </cfRule>
    <cfRule type="cellIs" dxfId="766" priority="150" stopIfTrue="1" operator="lessThan">
      <formula>-0.03</formula>
    </cfRule>
  </conditionalFormatting>
  <conditionalFormatting sqref="Y51">
    <cfRule type="cellIs" dxfId="765" priority="147" operator="greaterThan">
      <formula>0.03</formula>
    </cfRule>
    <cfRule type="cellIs" dxfId="764" priority="148" stopIfTrue="1" operator="lessThan">
      <formula>-0.03</formula>
    </cfRule>
  </conditionalFormatting>
  <conditionalFormatting sqref="W55">
    <cfRule type="cellIs" dxfId="763" priority="145" operator="greaterThan">
      <formula>0.03</formula>
    </cfRule>
    <cfRule type="cellIs" dxfId="762" priority="146" stopIfTrue="1" operator="lessThan">
      <formula>-0.03</formula>
    </cfRule>
  </conditionalFormatting>
  <conditionalFormatting sqref="X55">
    <cfRule type="cellIs" dxfId="761" priority="143" operator="greaterThan">
      <formula>0.03</formula>
    </cfRule>
    <cfRule type="cellIs" dxfId="760" priority="144" stopIfTrue="1" operator="lessThan">
      <formula>-0.03</formula>
    </cfRule>
  </conditionalFormatting>
  <conditionalFormatting sqref="Y55">
    <cfRule type="cellIs" dxfId="759" priority="141" operator="greaterThan">
      <formula>0.03</formula>
    </cfRule>
    <cfRule type="cellIs" dxfId="758" priority="142" stopIfTrue="1" operator="lessThan">
      <formula>-0.03</formula>
    </cfRule>
  </conditionalFormatting>
  <conditionalFormatting sqref="W59">
    <cfRule type="cellIs" dxfId="757" priority="139" operator="greaterThan">
      <formula>0.03</formula>
    </cfRule>
    <cfRule type="cellIs" dxfId="756" priority="140" stopIfTrue="1" operator="lessThan">
      <formula>-0.03</formula>
    </cfRule>
  </conditionalFormatting>
  <conditionalFormatting sqref="X59">
    <cfRule type="cellIs" dxfId="755" priority="137" operator="greaterThan">
      <formula>0.03</formula>
    </cfRule>
    <cfRule type="cellIs" dxfId="754" priority="138" stopIfTrue="1" operator="lessThan">
      <formula>-0.03</formula>
    </cfRule>
  </conditionalFormatting>
  <conditionalFormatting sqref="Y59">
    <cfRule type="cellIs" dxfId="753" priority="135" operator="greaterThan">
      <formula>0.03</formula>
    </cfRule>
    <cfRule type="cellIs" dxfId="752" priority="136" stopIfTrue="1" operator="lessThan">
      <formula>-0.03</formula>
    </cfRule>
  </conditionalFormatting>
  <conditionalFormatting sqref="W63">
    <cfRule type="cellIs" dxfId="751" priority="133" operator="greaterThan">
      <formula>0.03</formula>
    </cfRule>
    <cfRule type="cellIs" dxfId="750" priority="134" stopIfTrue="1" operator="lessThan">
      <formula>-0.03</formula>
    </cfRule>
  </conditionalFormatting>
  <conditionalFormatting sqref="X63">
    <cfRule type="cellIs" dxfId="749" priority="131" operator="greaterThan">
      <formula>0.03</formula>
    </cfRule>
    <cfRule type="cellIs" dxfId="748" priority="132" stopIfTrue="1" operator="lessThan">
      <formula>-0.03</formula>
    </cfRule>
  </conditionalFormatting>
  <conditionalFormatting sqref="Y63">
    <cfRule type="cellIs" dxfId="747" priority="129" operator="greaterThan">
      <formula>0.03</formula>
    </cfRule>
    <cfRule type="cellIs" dxfId="746" priority="130" stopIfTrue="1" operator="lessThan">
      <formula>-0.03</formula>
    </cfRule>
  </conditionalFormatting>
  <conditionalFormatting sqref="W67">
    <cfRule type="cellIs" dxfId="745" priority="127" operator="greaterThan">
      <formula>0.03</formula>
    </cfRule>
    <cfRule type="cellIs" dxfId="744" priority="128" stopIfTrue="1" operator="lessThan">
      <formula>-0.03</formula>
    </cfRule>
  </conditionalFormatting>
  <conditionalFormatting sqref="X67">
    <cfRule type="cellIs" dxfId="743" priority="125" operator="greaterThan">
      <formula>0.03</formula>
    </cfRule>
    <cfRule type="cellIs" dxfId="742" priority="126" stopIfTrue="1" operator="lessThan">
      <formula>-0.03</formula>
    </cfRule>
  </conditionalFormatting>
  <conditionalFormatting sqref="Y67">
    <cfRule type="cellIs" dxfId="741" priority="123" operator="greaterThan">
      <formula>0.03</formula>
    </cfRule>
    <cfRule type="cellIs" dxfId="740" priority="124" stopIfTrue="1" operator="lessThan">
      <formula>-0.03</formula>
    </cfRule>
  </conditionalFormatting>
  <conditionalFormatting sqref="W71">
    <cfRule type="cellIs" dxfId="739" priority="121" operator="greaterThan">
      <formula>0.03</formula>
    </cfRule>
    <cfRule type="cellIs" dxfId="738" priority="122" stopIfTrue="1" operator="lessThan">
      <formula>-0.03</formula>
    </cfRule>
  </conditionalFormatting>
  <conditionalFormatting sqref="X71">
    <cfRule type="cellIs" dxfId="737" priority="119" operator="greaterThan">
      <formula>0.03</formula>
    </cfRule>
    <cfRule type="cellIs" dxfId="736" priority="120" stopIfTrue="1" operator="lessThan">
      <formula>-0.03</formula>
    </cfRule>
  </conditionalFormatting>
  <conditionalFormatting sqref="Y71">
    <cfRule type="cellIs" dxfId="735" priority="117" operator="greaterThan">
      <formula>0.03</formula>
    </cfRule>
    <cfRule type="cellIs" dxfId="734" priority="118" stopIfTrue="1" operator="lessThan">
      <formula>-0.03</formula>
    </cfRule>
  </conditionalFormatting>
  <conditionalFormatting sqref="W75">
    <cfRule type="cellIs" dxfId="733" priority="115" operator="greaterThan">
      <formula>0.03</formula>
    </cfRule>
    <cfRule type="cellIs" dxfId="732" priority="116" stopIfTrue="1" operator="lessThan">
      <formula>-0.03</formula>
    </cfRule>
  </conditionalFormatting>
  <conditionalFormatting sqref="X75">
    <cfRule type="cellIs" dxfId="731" priority="113" operator="greaterThan">
      <formula>0.03</formula>
    </cfRule>
    <cfRule type="cellIs" dxfId="730" priority="114" stopIfTrue="1" operator="lessThan">
      <formula>-0.03</formula>
    </cfRule>
  </conditionalFormatting>
  <conditionalFormatting sqref="Y75">
    <cfRule type="cellIs" dxfId="729" priority="111" operator="greaterThan">
      <formula>0.03</formula>
    </cfRule>
    <cfRule type="cellIs" dxfId="728" priority="112" stopIfTrue="1" operator="lessThan">
      <formula>-0.03</formula>
    </cfRule>
  </conditionalFormatting>
  <conditionalFormatting sqref="W79">
    <cfRule type="cellIs" dxfId="727" priority="109" operator="greaterThan">
      <formula>0.03</formula>
    </cfRule>
    <cfRule type="cellIs" dxfId="726" priority="110" stopIfTrue="1" operator="lessThan">
      <formula>-0.03</formula>
    </cfRule>
  </conditionalFormatting>
  <conditionalFormatting sqref="X79">
    <cfRule type="cellIs" dxfId="725" priority="107" operator="greaterThan">
      <formula>0.03</formula>
    </cfRule>
    <cfRule type="cellIs" dxfId="724" priority="108" stopIfTrue="1" operator="lessThan">
      <formula>-0.03</formula>
    </cfRule>
  </conditionalFormatting>
  <conditionalFormatting sqref="Y79">
    <cfRule type="cellIs" dxfId="723" priority="105" operator="greaterThan">
      <formula>0.03</formula>
    </cfRule>
    <cfRule type="cellIs" dxfId="722" priority="106" stopIfTrue="1" operator="lessThan">
      <formula>-0.03</formula>
    </cfRule>
  </conditionalFormatting>
  <conditionalFormatting sqref="W105:Y105">
    <cfRule type="cellIs" dxfId="721" priority="103" operator="greaterThan">
      <formula>0.03</formula>
    </cfRule>
    <cfRule type="cellIs" dxfId="720" priority="104" stopIfTrue="1" operator="lessThan">
      <formula>-0.03</formula>
    </cfRule>
  </conditionalFormatting>
  <conditionalFormatting sqref="W6:X6">
    <cfRule type="cellIs" dxfId="719" priority="101" operator="greaterThan">
      <formula>0.03</formula>
    </cfRule>
    <cfRule type="cellIs" dxfId="718" priority="102" stopIfTrue="1" operator="lessThan">
      <formula>-0.03</formula>
    </cfRule>
  </conditionalFormatting>
  <conditionalFormatting sqref="W10:X10">
    <cfRule type="cellIs" dxfId="717" priority="99" operator="greaterThan">
      <formula>0.03</formula>
    </cfRule>
    <cfRule type="cellIs" dxfId="716" priority="100" stopIfTrue="1" operator="lessThan">
      <formula>-0.03</formula>
    </cfRule>
  </conditionalFormatting>
  <conditionalFormatting sqref="W14:X14">
    <cfRule type="cellIs" dxfId="715" priority="97" operator="greaterThan">
      <formula>0.03</formula>
    </cfRule>
    <cfRule type="cellIs" dxfId="714" priority="98" stopIfTrue="1" operator="lessThan">
      <formula>-0.03</formula>
    </cfRule>
  </conditionalFormatting>
  <conditionalFormatting sqref="W18:X18">
    <cfRule type="cellIs" dxfId="713" priority="95" operator="greaterThan">
      <formula>0.03</formula>
    </cfRule>
    <cfRule type="cellIs" dxfId="712" priority="96" stopIfTrue="1" operator="lessThan">
      <formula>-0.03</formula>
    </cfRule>
  </conditionalFormatting>
  <conditionalFormatting sqref="W22:X22">
    <cfRule type="cellIs" dxfId="711" priority="93" operator="greaterThan">
      <formula>0.03</formula>
    </cfRule>
    <cfRule type="cellIs" dxfId="710" priority="94" stopIfTrue="1" operator="lessThan">
      <formula>-0.03</formula>
    </cfRule>
  </conditionalFormatting>
  <conditionalFormatting sqref="W26:X26">
    <cfRule type="cellIs" dxfId="709" priority="91" operator="greaterThan">
      <formula>0.03</formula>
    </cfRule>
    <cfRule type="cellIs" dxfId="708" priority="92" stopIfTrue="1" operator="lessThan">
      <formula>-0.03</formula>
    </cfRule>
  </conditionalFormatting>
  <conditionalFormatting sqref="W30:X30">
    <cfRule type="cellIs" dxfId="707" priority="89" operator="greaterThan">
      <formula>0.03</formula>
    </cfRule>
    <cfRule type="cellIs" dxfId="706" priority="90" stopIfTrue="1" operator="lessThan">
      <formula>-0.03</formula>
    </cfRule>
  </conditionalFormatting>
  <conditionalFormatting sqref="W34:X34">
    <cfRule type="cellIs" dxfId="705" priority="87" operator="greaterThan">
      <formula>0.03</formula>
    </cfRule>
    <cfRule type="cellIs" dxfId="704" priority="88" stopIfTrue="1" operator="lessThan">
      <formula>-0.03</formula>
    </cfRule>
  </conditionalFormatting>
  <conditionalFormatting sqref="W38:X38">
    <cfRule type="cellIs" dxfId="703" priority="85" operator="greaterThan">
      <formula>0.03</formula>
    </cfRule>
    <cfRule type="cellIs" dxfId="702" priority="86" stopIfTrue="1" operator="lessThan">
      <formula>-0.03</formula>
    </cfRule>
  </conditionalFormatting>
  <conditionalFormatting sqref="W42:X42">
    <cfRule type="cellIs" dxfId="701" priority="83" operator="greaterThan">
      <formula>0.03</formula>
    </cfRule>
    <cfRule type="cellIs" dxfId="700" priority="84" stopIfTrue="1" operator="lessThan">
      <formula>-0.03</formula>
    </cfRule>
  </conditionalFormatting>
  <conditionalFormatting sqref="W46:X46">
    <cfRule type="cellIs" dxfId="699" priority="81" operator="greaterThan">
      <formula>0.03</formula>
    </cfRule>
    <cfRule type="cellIs" dxfId="698" priority="82" stopIfTrue="1" operator="lessThan">
      <formula>-0.03</formula>
    </cfRule>
  </conditionalFormatting>
  <conditionalFormatting sqref="W50:X50">
    <cfRule type="cellIs" dxfId="697" priority="79" operator="greaterThan">
      <formula>0.03</formula>
    </cfRule>
    <cfRule type="cellIs" dxfId="696" priority="80" stopIfTrue="1" operator="lessThan">
      <formula>-0.03</formula>
    </cfRule>
  </conditionalFormatting>
  <conditionalFormatting sqref="W54:X54">
    <cfRule type="cellIs" dxfId="695" priority="77" operator="greaterThan">
      <formula>0.03</formula>
    </cfRule>
    <cfRule type="cellIs" dxfId="694" priority="78" stopIfTrue="1" operator="lessThan">
      <formula>-0.03</formula>
    </cfRule>
  </conditionalFormatting>
  <conditionalFormatting sqref="W58:X58">
    <cfRule type="cellIs" dxfId="693" priority="75" operator="greaterThan">
      <formula>0.03</formula>
    </cfRule>
    <cfRule type="cellIs" dxfId="692" priority="76" stopIfTrue="1" operator="lessThan">
      <formula>-0.03</formula>
    </cfRule>
  </conditionalFormatting>
  <conditionalFormatting sqref="W62:X62">
    <cfRule type="cellIs" dxfId="691" priority="73" operator="greaterThan">
      <formula>0.03</formula>
    </cfRule>
    <cfRule type="cellIs" dxfId="690" priority="74" stopIfTrue="1" operator="lessThan">
      <formula>-0.03</formula>
    </cfRule>
  </conditionalFormatting>
  <conditionalFormatting sqref="W66:X66">
    <cfRule type="cellIs" dxfId="689" priority="71" operator="greaterThan">
      <formula>0.03</formula>
    </cfRule>
    <cfRule type="cellIs" dxfId="688" priority="72" stopIfTrue="1" operator="lessThan">
      <formula>-0.03</formula>
    </cfRule>
  </conditionalFormatting>
  <conditionalFormatting sqref="W70:X70">
    <cfRule type="cellIs" dxfId="687" priority="69" operator="greaterThan">
      <formula>0.03</formula>
    </cfRule>
    <cfRule type="cellIs" dxfId="686" priority="70" stopIfTrue="1" operator="lessThan">
      <formula>-0.03</formula>
    </cfRule>
  </conditionalFormatting>
  <conditionalFormatting sqref="W74:X74">
    <cfRule type="cellIs" dxfId="685" priority="67" operator="greaterThan">
      <formula>0.03</formula>
    </cfRule>
    <cfRule type="cellIs" dxfId="684" priority="68" stopIfTrue="1" operator="lessThan">
      <formula>-0.03</formula>
    </cfRule>
  </conditionalFormatting>
  <conditionalFormatting sqref="T83:V98">
    <cfRule type="cellIs" dxfId="683" priority="63" operator="greaterThan">
      <formula>0.03</formula>
    </cfRule>
    <cfRule type="cellIs" dxfId="682" priority="64" stopIfTrue="1" operator="lessThan">
      <formula>-0.03</formula>
    </cfRule>
  </conditionalFormatting>
  <conditionalFormatting sqref="W83">
    <cfRule type="cellIs" dxfId="681" priority="61" operator="greaterThan">
      <formula>0.03</formula>
    </cfRule>
    <cfRule type="cellIs" dxfId="680" priority="62" stopIfTrue="1" operator="lessThan">
      <formula>-0.03</formula>
    </cfRule>
  </conditionalFormatting>
  <conditionalFormatting sqref="X83">
    <cfRule type="cellIs" dxfId="679" priority="59" operator="greaterThan">
      <formula>0.03</formula>
    </cfRule>
    <cfRule type="cellIs" dxfId="678" priority="60" stopIfTrue="1" operator="lessThan">
      <formula>-0.03</formula>
    </cfRule>
  </conditionalFormatting>
  <conditionalFormatting sqref="Y83">
    <cfRule type="cellIs" dxfId="677" priority="57" operator="greaterThan">
      <formula>0.03</formula>
    </cfRule>
    <cfRule type="cellIs" dxfId="676" priority="58" stopIfTrue="1" operator="lessThan">
      <formula>-0.03</formula>
    </cfRule>
  </conditionalFormatting>
  <conditionalFormatting sqref="W87">
    <cfRule type="cellIs" dxfId="675" priority="55" operator="greaterThan">
      <formula>0.03</formula>
    </cfRule>
    <cfRule type="cellIs" dxfId="674" priority="56" stopIfTrue="1" operator="lessThan">
      <formula>-0.03</formula>
    </cfRule>
  </conditionalFormatting>
  <conditionalFormatting sqref="X87">
    <cfRule type="cellIs" dxfId="673" priority="53" operator="greaterThan">
      <formula>0.03</formula>
    </cfRule>
    <cfRule type="cellIs" dxfId="672" priority="54" stopIfTrue="1" operator="lessThan">
      <formula>-0.03</formula>
    </cfRule>
  </conditionalFormatting>
  <conditionalFormatting sqref="Y87">
    <cfRule type="cellIs" dxfId="671" priority="51" operator="greaterThan">
      <formula>0.03</formula>
    </cfRule>
    <cfRule type="cellIs" dxfId="670" priority="52" stopIfTrue="1" operator="lessThan">
      <formula>-0.03</formula>
    </cfRule>
  </conditionalFormatting>
  <conditionalFormatting sqref="W91">
    <cfRule type="cellIs" dxfId="669" priority="49" operator="greaterThan">
      <formula>0.03</formula>
    </cfRule>
    <cfRule type="cellIs" dxfId="668" priority="50" stopIfTrue="1" operator="lessThan">
      <formula>-0.03</formula>
    </cfRule>
  </conditionalFormatting>
  <conditionalFormatting sqref="X91">
    <cfRule type="cellIs" dxfId="667" priority="47" operator="greaterThan">
      <formula>0.03</formula>
    </cfRule>
    <cfRule type="cellIs" dxfId="666" priority="48" stopIfTrue="1" operator="lessThan">
      <formula>-0.03</formula>
    </cfRule>
  </conditionalFormatting>
  <conditionalFormatting sqref="Y91">
    <cfRule type="cellIs" dxfId="665" priority="45" operator="greaterThan">
      <formula>0.03</formula>
    </cfRule>
    <cfRule type="cellIs" dxfId="664" priority="46" stopIfTrue="1" operator="lessThan">
      <formula>-0.03</formula>
    </cfRule>
  </conditionalFormatting>
  <conditionalFormatting sqref="W95">
    <cfRule type="cellIs" dxfId="663" priority="43" operator="greaterThan">
      <formula>0.03</formula>
    </cfRule>
    <cfRule type="cellIs" dxfId="662" priority="44" stopIfTrue="1" operator="lessThan">
      <formula>-0.03</formula>
    </cfRule>
  </conditionalFormatting>
  <conditionalFormatting sqref="X95">
    <cfRule type="cellIs" dxfId="661" priority="41" operator="greaterThan">
      <formula>0.03</formula>
    </cfRule>
    <cfRule type="cellIs" dxfId="660" priority="42" stopIfTrue="1" operator="lessThan">
      <formula>-0.03</formula>
    </cfRule>
  </conditionalFormatting>
  <conditionalFormatting sqref="Y95">
    <cfRule type="cellIs" dxfId="659" priority="39" operator="greaterThan">
      <formula>0.03</formula>
    </cfRule>
    <cfRule type="cellIs" dxfId="658" priority="40" stopIfTrue="1" operator="lessThan">
      <formula>-0.03</formula>
    </cfRule>
  </conditionalFormatting>
  <conditionalFormatting sqref="W86:X86">
    <cfRule type="cellIs" dxfId="657" priority="37" operator="greaterThan">
      <formula>0.03</formula>
    </cfRule>
    <cfRule type="cellIs" dxfId="656" priority="38" stopIfTrue="1" operator="lessThan">
      <formula>-0.03</formula>
    </cfRule>
  </conditionalFormatting>
  <conditionalFormatting sqref="W90:X90">
    <cfRule type="cellIs" dxfId="655" priority="35" operator="greaterThan">
      <formula>0.03</formula>
    </cfRule>
    <cfRule type="cellIs" dxfId="654" priority="36" stopIfTrue="1" operator="lessThan">
      <formula>-0.03</formula>
    </cfRule>
  </conditionalFormatting>
  <conditionalFormatting sqref="W94:X94">
    <cfRule type="cellIs" dxfId="653" priority="33" operator="greaterThan">
      <formula>0.03</formula>
    </cfRule>
    <cfRule type="cellIs" dxfId="652" priority="34" stopIfTrue="1" operator="lessThan">
      <formula>-0.03</formula>
    </cfRule>
  </conditionalFormatting>
  <conditionalFormatting sqref="W98:X98">
    <cfRule type="cellIs" dxfId="651" priority="31" operator="greaterThan">
      <formula>0.03</formula>
    </cfRule>
    <cfRule type="cellIs" dxfId="650" priority="32" stopIfTrue="1" operator="lessThan">
      <formula>-0.03</formula>
    </cfRule>
  </conditionalFormatting>
  <conditionalFormatting sqref="T99:V104">
    <cfRule type="cellIs" dxfId="649" priority="29" operator="greaterThan">
      <formula>0.03</formula>
    </cfRule>
    <cfRule type="cellIs" dxfId="648" priority="30" stopIfTrue="1" operator="lessThan">
      <formula>-0.03</formula>
    </cfRule>
  </conditionalFormatting>
  <conditionalFormatting sqref="W99:Y103">
    <cfRule type="cellIs" dxfId="647" priority="27" operator="greaterThan">
      <formula>0.03</formula>
    </cfRule>
    <cfRule type="cellIs" dxfId="646" priority="28" stopIfTrue="1" operator="lessThan">
      <formula>-0.03</formula>
    </cfRule>
  </conditionalFormatting>
  <conditionalFormatting sqref="W104">
    <cfRule type="cellIs" dxfId="645" priority="25" operator="greaterThan">
      <formula>0.03</formula>
    </cfRule>
    <cfRule type="cellIs" dxfId="644" priority="26" stopIfTrue="1" operator="lessThan">
      <formula>-0.03</formula>
    </cfRule>
  </conditionalFormatting>
  <conditionalFormatting sqref="X104">
    <cfRule type="cellIs" dxfId="643" priority="23" operator="greaterThan">
      <formula>0.03</formula>
    </cfRule>
    <cfRule type="cellIs" dxfId="642" priority="24" stopIfTrue="1" operator="lessThan">
      <formula>-0.03</formula>
    </cfRule>
  </conditionalFormatting>
  <conditionalFormatting sqref="Y104">
    <cfRule type="cellIs" dxfId="641" priority="21" operator="greaterThan">
      <formula>0.03</formula>
    </cfRule>
    <cfRule type="cellIs" dxfId="640" priority="22" stopIfTrue="1" operator="lessThan">
      <formula>-0.03</formula>
    </cfRule>
  </conditionalFormatting>
  <conditionalFormatting sqref="T111:V112">
    <cfRule type="cellIs" dxfId="639" priority="9" operator="greaterThan">
      <formula>0.03</formula>
    </cfRule>
    <cfRule type="cellIs" dxfId="638" priority="10" stopIfTrue="1" operator="lessThan">
      <formula>-0.03</formula>
    </cfRule>
  </conditionalFormatting>
  <conditionalFormatting sqref="W112:Y112">
    <cfRule type="cellIs" dxfId="637" priority="7" operator="greaterThan">
      <formula>0.03</formula>
    </cfRule>
    <cfRule type="cellIs" dxfId="636" priority="8" stopIfTrue="1" operator="lessThan">
      <formula>-0.03</formula>
    </cfRule>
  </conditionalFormatting>
  <conditionalFormatting sqref="W111">
    <cfRule type="cellIs" dxfId="635" priority="5" operator="greaterThan">
      <formula>0.03</formula>
    </cfRule>
    <cfRule type="cellIs" dxfId="634" priority="6" stopIfTrue="1" operator="lessThan">
      <formula>-0.03</formula>
    </cfRule>
  </conditionalFormatting>
  <conditionalFormatting sqref="X111">
    <cfRule type="cellIs" dxfId="633" priority="3" operator="greaterThan">
      <formula>0.03</formula>
    </cfRule>
    <cfRule type="cellIs" dxfId="632" priority="4" stopIfTrue="1" operator="lessThan">
      <formula>-0.03</formula>
    </cfRule>
  </conditionalFormatting>
  <conditionalFormatting sqref="Y111">
    <cfRule type="cellIs" dxfId="631" priority="1" operator="greaterThan">
      <formula>0.03</formula>
    </cfRule>
    <cfRule type="cellIs" dxfId="630" priority="2" stopIfTrue="1" operator="lessThan">
      <formula>-0.03</formula>
    </cfRule>
  </conditionalFormatting>
  <pageMargins left="0.75" right="0.75" top="1" bottom="1" header="0.5" footer="0.5"/>
  <pageSetup paperSize="9" orientation="portrait" horizontalDpi="4294967292" verticalDpi="4294967292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Y114"/>
  <sheetViews>
    <sheetView workbookViewId="0">
      <selection activeCell="Z105" sqref="Z105"/>
    </sheetView>
  </sheetViews>
  <sheetFormatPr defaultColWidth="10.77734375" defaultRowHeight="12" x14ac:dyDescent="0.2"/>
  <cols>
    <col min="1" max="1" width="8.33203125" style="1" customWidth="1"/>
    <col min="2" max="2" width="14.77734375" style="1" customWidth="1"/>
    <col min="3" max="3" width="7.77734375" style="1" customWidth="1"/>
    <col min="4" max="4" width="9.77734375" style="1" customWidth="1"/>
    <col min="5" max="7" width="6.77734375" style="1" customWidth="1"/>
    <col min="8" max="10" width="8.77734375" style="1" customWidth="1"/>
    <col min="11" max="11" width="2.77734375" style="1" customWidth="1"/>
    <col min="12" max="12" width="9.77734375" style="1" customWidth="1"/>
    <col min="13" max="15" width="6.77734375" style="1" customWidth="1"/>
    <col min="16" max="18" width="8.77734375" style="1" customWidth="1"/>
    <col min="19" max="19" width="2.77734375" style="1" customWidth="1"/>
    <col min="20" max="25" width="8.77734375" style="1" customWidth="1"/>
    <col min="26" max="16384" width="10.77734375" style="1"/>
  </cols>
  <sheetData>
    <row r="1" spans="1:25" ht="12.75" thickBot="1" x14ac:dyDescent="0.25">
      <c r="D1" s="162" t="s">
        <v>32</v>
      </c>
      <c r="E1" s="163"/>
      <c r="F1" s="163"/>
      <c r="G1" s="163"/>
      <c r="H1" s="163"/>
      <c r="I1" s="163"/>
      <c r="J1" s="164"/>
      <c r="L1" s="162" t="s">
        <v>33</v>
      </c>
      <c r="M1" s="163"/>
      <c r="N1" s="163"/>
      <c r="O1" s="163"/>
      <c r="P1" s="163"/>
      <c r="Q1" s="163"/>
      <c r="R1" s="164"/>
      <c r="S1" s="2"/>
      <c r="T1" s="162" t="s">
        <v>47</v>
      </c>
      <c r="U1" s="163"/>
      <c r="V1" s="164"/>
      <c r="W1" s="162" t="s">
        <v>48</v>
      </c>
      <c r="X1" s="163"/>
      <c r="Y1" s="164"/>
    </row>
    <row r="2" spans="1:25" ht="12.75" thickBot="1" x14ac:dyDescent="0.25">
      <c r="A2" s="3"/>
      <c r="B2" s="4"/>
      <c r="C2" s="5" t="s">
        <v>1</v>
      </c>
      <c r="D2" s="6" t="s">
        <v>34</v>
      </c>
      <c r="E2" s="7" t="s">
        <v>35</v>
      </c>
      <c r="F2" s="7" t="s">
        <v>36</v>
      </c>
      <c r="G2" s="7" t="s">
        <v>37</v>
      </c>
      <c r="H2" s="7" t="s">
        <v>38</v>
      </c>
      <c r="I2" s="7" t="s">
        <v>39</v>
      </c>
      <c r="J2" s="8" t="s">
        <v>40</v>
      </c>
      <c r="K2" s="2"/>
      <c r="L2" s="6" t="s">
        <v>34</v>
      </c>
      <c r="M2" s="7" t="s">
        <v>35</v>
      </c>
      <c r="N2" s="7" t="s">
        <v>36</v>
      </c>
      <c r="O2" s="7" t="s">
        <v>37</v>
      </c>
      <c r="P2" s="7" t="s">
        <v>38</v>
      </c>
      <c r="Q2" s="7" t="s">
        <v>39</v>
      </c>
      <c r="R2" s="8" t="s">
        <v>40</v>
      </c>
      <c r="S2" s="9"/>
      <c r="T2" s="6" t="s">
        <v>41</v>
      </c>
      <c r="U2" s="7" t="s">
        <v>42</v>
      </c>
      <c r="V2" s="8" t="s">
        <v>43</v>
      </c>
      <c r="W2" s="10" t="s">
        <v>41</v>
      </c>
      <c r="X2" s="11" t="s">
        <v>42</v>
      </c>
      <c r="Y2" s="12" t="s">
        <v>43</v>
      </c>
    </row>
    <row r="3" spans="1:25" x14ac:dyDescent="0.2">
      <c r="A3" s="13" t="s">
        <v>2</v>
      </c>
      <c r="B3" s="13" t="s">
        <v>3</v>
      </c>
      <c r="C3" s="13">
        <v>22</v>
      </c>
      <c r="D3" s="17"/>
      <c r="E3" s="18"/>
      <c r="F3" s="18"/>
      <c r="G3" s="18"/>
      <c r="H3" s="18"/>
      <c r="I3" s="18"/>
      <c r="J3" s="16">
        <f>H3/3600</f>
        <v>0</v>
      </c>
      <c r="L3" s="17"/>
      <c r="M3" s="18"/>
      <c r="N3" s="18"/>
      <c r="O3" s="18"/>
      <c r="P3" s="18"/>
      <c r="Q3" s="18"/>
      <c r="R3" s="19">
        <f>P3/3600</f>
        <v>0</v>
      </c>
      <c r="S3" s="20"/>
      <c r="T3" s="21" t="e">
        <f>bdrate($D3:$D6,E3:E6,$L3:$L6,M3:M6)</f>
        <v>#VALUE!</v>
      </c>
      <c r="U3" s="22" t="e">
        <f>bdrate($D3:$D6,F3:F6,$L3:$L6,N3:N6)</f>
        <v>#VALUE!</v>
      </c>
      <c r="V3" s="23" t="e">
        <f>bdrate($D3:$D6,G3:G6,$L3:$L6,O3:O6)</f>
        <v>#VALUE!</v>
      </c>
      <c r="W3" s="21" t="e">
        <f>bdrateOld($D3:$D6,E3:E6,$L3:$L6,M3:M6)</f>
        <v>#VALUE!</v>
      </c>
      <c r="X3" s="22" t="e">
        <f>bdrateOld($D3:$D6,F3:F6,$L3:$L6,N3:N6)</f>
        <v>#VALUE!</v>
      </c>
      <c r="Y3" s="23" t="e">
        <f>bdrateOld($D3:$D6,G3:G6,$L3:$L6,O3:O6)</f>
        <v>#VALUE!</v>
      </c>
    </row>
    <row r="4" spans="1:25" x14ac:dyDescent="0.2">
      <c r="A4" s="24" t="s">
        <v>4</v>
      </c>
      <c r="B4" s="24"/>
      <c r="C4" s="24">
        <v>27</v>
      </c>
      <c r="D4" s="28"/>
      <c r="E4" s="29"/>
      <c r="F4" s="29"/>
      <c r="G4" s="29"/>
      <c r="H4" s="29"/>
      <c r="I4" s="29"/>
      <c r="J4" s="27">
        <f t="shared" ref="J4:J67" si="0">H4/3600</f>
        <v>0</v>
      </c>
      <c r="L4" s="28"/>
      <c r="M4" s="29"/>
      <c r="N4" s="29"/>
      <c r="O4" s="29"/>
      <c r="P4" s="29"/>
      <c r="Q4" s="29"/>
      <c r="R4" s="30">
        <f t="shared" ref="R4:R67" si="1">P4/3600</f>
        <v>0</v>
      </c>
      <c r="S4" s="20"/>
      <c r="T4" s="31"/>
      <c r="U4" s="32"/>
      <c r="V4" s="33"/>
      <c r="W4" s="31"/>
      <c r="X4" s="32"/>
      <c r="Y4" s="33"/>
    </row>
    <row r="5" spans="1:25" x14ac:dyDescent="0.2">
      <c r="A5" s="24"/>
      <c r="B5" s="24"/>
      <c r="C5" s="24">
        <v>32</v>
      </c>
      <c r="D5" s="28"/>
      <c r="E5" s="29"/>
      <c r="F5" s="29"/>
      <c r="G5" s="29"/>
      <c r="H5" s="29"/>
      <c r="I5" s="29"/>
      <c r="J5" s="27">
        <f t="shared" si="0"/>
        <v>0</v>
      </c>
      <c r="L5" s="28"/>
      <c r="M5" s="29"/>
      <c r="N5" s="29"/>
      <c r="O5" s="29"/>
      <c r="P5" s="29"/>
      <c r="Q5" s="29"/>
      <c r="R5" s="30">
        <f t="shared" si="1"/>
        <v>0</v>
      </c>
      <c r="S5" s="20"/>
      <c r="T5" s="31"/>
      <c r="U5" s="32"/>
      <c r="V5" s="33"/>
      <c r="W5" s="31"/>
      <c r="X5" s="32"/>
      <c r="Y5" s="33"/>
    </row>
    <row r="6" spans="1:25" ht="12.75" thickBot="1" x14ac:dyDescent="0.25">
      <c r="A6" s="24"/>
      <c r="B6" s="34"/>
      <c r="C6" s="34">
        <v>37</v>
      </c>
      <c r="D6" s="38"/>
      <c r="E6" s="39"/>
      <c r="F6" s="39"/>
      <c r="G6" s="39"/>
      <c r="H6" s="39"/>
      <c r="I6" s="39"/>
      <c r="J6" s="37">
        <f t="shared" si="0"/>
        <v>0</v>
      </c>
      <c r="L6" s="38"/>
      <c r="M6" s="39"/>
      <c r="N6" s="39"/>
      <c r="O6" s="39"/>
      <c r="P6" s="39"/>
      <c r="Q6" s="39"/>
      <c r="R6" s="40">
        <f t="shared" si="1"/>
        <v>0</v>
      </c>
      <c r="S6" s="20"/>
      <c r="T6" s="41"/>
      <c r="U6" s="42"/>
      <c r="V6" s="43"/>
      <c r="W6" s="41"/>
      <c r="X6" s="42"/>
      <c r="Y6" s="43"/>
    </row>
    <row r="7" spans="1:25" x14ac:dyDescent="0.2">
      <c r="A7" s="24"/>
      <c r="B7" s="13" t="s">
        <v>5</v>
      </c>
      <c r="C7" s="13">
        <v>22</v>
      </c>
      <c r="D7" s="17"/>
      <c r="E7" s="18"/>
      <c r="F7" s="18"/>
      <c r="G7" s="18"/>
      <c r="H7" s="18"/>
      <c r="I7" s="18"/>
      <c r="J7" s="16">
        <f t="shared" si="0"/>
        <v>0</v>
      </c>
      <c r="L7" s="17"/>
      <c r="M7" s="18"/>
      <c r="N7" s="18"/>
      <c r="O7" s="18"/>
      <c r="P7" s="18"/>
      <c r="Q7" s="18"/>
      <c r="R7" s="19">
        <f t="shared" si="1"/>
        <v>0</v>
      </c>
      <c r="S7" s="20"/>
      <c r="T7" s="21" t="e">
        <f>bdrate($D7:$D10,E7:E10,$L7:$L10,M7:M10)</f>
        <v>#VALUE!</v>
      </c>
      <c r="U7" s="22" t="e">
        <f>bdrate($D7:$D10,F7:F10,$L7:$L10,N7:N10)</f>
        <v>#VALUE!</v>
      </c>
      <c r="V7" s="22" t="e">
        <f>bdrate($D7:$D10,G7:G10,$L7:$L10,O7:O10)</f>
        <v>#VALUE!</v>
      </c>
      <c r="W7" s="44" t="e">
        <f>bdrateOld($D7:$D10,E7:E10,$L7:$L10,M7:M10)</f>
        <v>#VALUE!</v>
      </c>
      <c r="X7" s="45" t="e">
        <f>bdrateOld($D7:$D10,F7:F10,$L7:$L10,N7:N10)</f>
        <v>#VALUE!</v>
      </c>
      <c r="Y7" s="46" t="e">
        <f>bdrateOld($D7:$D10,G7:G10,$L7:$L10,O7:O10)</f>
        <v>#VALUE!</v>
      </c>
    </row>
    <row r="8" spans="1:25" x14ac:dyDescent="0.2">
      <c r="A8" s="24"/>
      <c r="B8" s="24"/>
      <c r="C8" s="24">
        <v>27</v>
      </c>
      <c r="D8" s="28"/>
      <c r="E8" s="29"/>
      <c r="F8" s="29"/>
      <c r="G8" s="29"/>
      <c r="H8" s="29"/>
      <c r="I8" s="29"/>
      <c r="J8" s="27">
        <f t="shared" si="0"/>
        <v>0</v>
      </c>
      <c r="L8" s="28"/>
      <c r="M8" s="29"/>
      <c r="N8" s="29"/>
      <c r="O8" s="29"/>
      <c r="P8" s="29"/>
      <c r="Q8" s="29"/>
      <c r="R8" s="30">
        <f t="shared" si="1"/>
        <v>0</v>
      </c>
      <c r="S8" s="20"/>
      <c r="T8" s="31"/>
      <c r="U8" s="32"/>
      <c r="V8" s="32"/>
      <c r="W8" s="31"/>
      <c r="X8" s="32"/>
      <c r="Y8" s="33"/>
    </row>
    <row r="9" spans="1:25" x14ac:dyDescent="0.2">
      <c r="A9" s="24"/>
      <c r="B9" s="24"/>
      <c r="C9" s="24">
        <v>32</v>
      </c>
      <c r="D9" s="28"/>
      <c r="E9" s="29"/>
      <c r="F9" s="29"/>
      <c r="G9" s="29"/>
      <c r="H9" s="29"/>
      <c r="I9" s="29"/>
      <c r="J9" s="27">
        <f t="shared" si="0"/>
        <v>0</v>
      </c>
      <c r="L9" s="28"/>
      <c r="M9" s="29"/>
      <c r="N9" s="29"/>
      <c r="O9" s="29"/>
      <c r="P9" s="29"/>
      <c r="Q9" s="29"/>
      <c r="R9" s="30">
        <f t="shared" si="1"/>
        <v>0</v>
      </c>
      <c r="S9" s="20"/>
      <c r="T9" s="31"/>
      <c r="U9" s="47"/>
      <c r="V9" s="32"/>
      <c r="W9" s="31"/>
      <c r="X9" s="32"/>
      <c r="Y9" s="33"/>
    </row>
    <row r="10" spans="1:25" ht="12.75" thickBot="1" x14ac:dyDescent="0.25">
      <c r="A10" s="24"/>
      <c r="B10" s="34"/>
      <c r="C10" s="34">
        <v>37</v>
      </c>
      <c r="D10" s="38"/>
      <c r="E10" s="39"/>
      <c r="F10" s="39"/>
      <c r="G10" s="39"/>
      <c r="H10" s="39"/>
      <c r="I10" s="39"/>
      <c r="J10" s="37">
        <f t="shared" si="0"/>
        <v>0</v>
      </c>
      <c r="L10" s="38"/>
      <c r="M10" s="39"/>
      <c r="N10" s="39"/>
      <c r="O10" s="39"/>
      <c r="P10" s="39"/>
      <c r="Q10" s="39"/>
      <c r="R10" s="40">
        <f t="shared" si="1"/>
        <v>0</v>
      </c>
      <c r="S10" s="20"/>
      <c r="T10" s="41"/>
      <c r="U10" s="42"/>
      <c r="V10" s="42"/>
      <c r="W10" s="41"/>
      <c r="X10" s="42"/>
      <c r="Y10" s="43"/>
    </row>
    <row r="11" spans="1:25" x14ac:dyDescent="0.2">
      <c r="A11" s="118"/>
      <c r="B11" s="117" t="s">
        <v>0</v>
      </c>
      <c r="C11" s="117">
        <v>22</v>
      </c>
      <c r="D11" s="17"/>
      <c r="E11" s="18"/>
      <c r="F11" s="18"/>
      <c r="G11" s="18"/>
      <c r="H11" s="18"/>
      <c r="I11" s="18"/>
      <c r="J11" s="16">
        <f t="shared" si="0"/>
        <v>0</v>
      </c>
      <c r="L11" s="17"/>
      <c r="M11" s="18"/>
      <c r="N11" s="18"/>
      <c r="O11" s="18"/>
      <c r="P11" s="18"/>
      <c r="Q11" s="18"/>
      <c r="R11" s="19">
        <f t="shared" si="1"/>
        <v>0</v>
      </c>
      <c r="S11" s="20"/>
      <c r="T11" s="21" t="e">
        <f>bdrate($D11:$D14,E11:E14,$L11:$L14,M11:M14)</f>
        <v>#VALUE!</v>
      </c>
      <c r="U11" s="22" t="e">
        <f>bdrate($D11:$D14,F11:F14,$L11:$L14,N11:N14)</f>
        <v>#VALUE!</v>
      </c>
      <c r="V11" s="22" t="e">
        <f>bdrate($D11:$D14,G11:G14,$L11:$L14,O11:O14)</f>
        <v>#VALUE!</v>
      </c>
      <c r="W11" s="44" t="e">
        <f>bdrateOld($D11:$D14,E11:E14,$L11:$L14,M11:M14)</f>
        <v>#VALUE!</v>
      </c>
      <c r="X11" s="45" t="e">
        <f>bdrateOld($D11:$D14,F11:F14,$L11:$L14,N11:N14)</f>
        <v>#VALUE!</v>
      </c>
      <c r="Y11" s="46" t="e">
        <f>bdrateOld($D11:$D14,G11:G14,$L11:$L14,O11:O14)</f>
        <v>#VALUE!</v>
      </c>
    </row>
    <row r="12" spans="1:25" x14ac:dyDescent="0.2">
      <c r="A12" s="118"/>
      <c r="B12" s="118"/>
      <c r="C12" s="118">
        <v>27</v>
      </c>
      <c r="D12" s="28"/>
      <c r="E12" s="29"/>
      <c r="F12" s="29"/>
      <c r="G12" s="29"/>
      <c r="H12" s="29"/>
      <c r="I12" s="29"/>
      <c r="J12" s="27">
        <f t="shared" si="0"/>
        <v>0</v>
      </c>
      <c r="L12" s="28"/>
      <c r="M12" s="29"/>
      <c r="N12" s="29"/>
      <c r="O12" s="29"/>
      <c r="P12" s="29"/>
      <c r="Q12" s="29"/>
      <c r="R12" s="30">
        <f t="shared" si="1"/>
        <v>0</v>
      </c>
      <c r="S12" s="20"/>
      <c r="T12" s="31"/>
      <c r="U12" s="32"/>
      <c r="V12" s="32"/>
      <c r="W12" s="31"/>
      <c r="X12" s="32"/>
      <c r="Y12" s="33"/>
    </row>
    <row r="13" spans="1:25" x14ac:dyDescent="0.2">
      <c r="A13" s="118"/>
      <c r="B13" s="118"/>
      <c r="C13" s="118">
        <v>32</v>
      </c>
      <c r="D13" s="28"/>
      <c r="E13" s="29"/>
      <c r="F13" s="29"/>
      <c r="G13" s="29"/>
      <c r="H13" s="29"/>
      <c r="I13" s="29"/>
      <c r="J13" s="27">
        <f t="shared" si="0"/>
        <v>0</v>
      </c>
      <c r="L13" s="28"/>
      <c r="M13" s="29"/>
      <c r="N13" s="29"/>
      <c r="O13" s="29"/>
      <c r="P13" s="29"/>
      <c r="Q13" s="29"/>
      <c r="R13" s="30">
        <f t="shared" si="1"/>
        <v>0</v>
      </c>
      <c r="S13" s="20"/>
      <c r="T13" s="31"/>
      <c r="U13" s="32"/>
      <c r="V13" s="32"/>
      <c r="W13" s="31"/>
      <c r="X13" s="32"/>
      <c r="Y13" s="33"/>
    </row>
    <row r="14" spans="1:25" ht="12.75" thickBot="1" x14ac:dyDescent="0.25">
      <c r="A14" s="118"/>
      <c r="B14" s="119"/>
      <c r="C14" s="119">
        <v>37</v>
      </c>
      <c r="D14" s="38"/>
      <c r="E14" s="39"/>
      <c r="F14" s="39"/>
      <c r="G14" s="39"/>
      <c r="H14" s="39"/>
      <c r="I14" s="39"/>
      <c r="J14" s="37">
        <f t="shared" si="0"/>
        <v>0</v>
      </c>
      <c r="L14" s="38"/>
      <c r="M14" s="39"/>
      <c r="N14" s="39"/>
      <c r="O14" s="39"/>
      <c r="P14" s="39"/>
      <c r="Q14" s="39"/>
      <c r="R14" s="40">
        <f t="shared" si="1"/>
        <v>0</v>
      </c>
      <c r="S14" s="20"/>
      <c r="T14" s="41"/>
      <c r="U14" s="42"/>
      <c r="V14" s="42"/>
      <c r="W14" s="41"/>
      <c r="X14" s="42"/>
      <c r="Y14" s="43"/>
    </row>
    <row r="15" spans="1:25" x14ac:dyDescent="0.2">
      <c r="A15" s="118"/>
      <c r="B15" s="117" t="s">
        <v>6</v>
      </c>
      <c r="C15" s="117">
        <v>22</v>
      </c>
      <c r="D15" s="17"/>
      <c r="E15" s="18"/>
      <c r="F15" s="18"/>
      <c r="G15" s="18"/>
      <c r="H15" s="18"/>
      <c r="I15" s="18"/>
      <c r="J15" s="16">
        <f t="shared" si="0"/>
        <v>0</v>
      </c>
      <c r="L15" s="17"/>
      <c r="M15" s="18"/>
      <c r="N15" s="18"/>
      <c r="O15" s="18"/>
      <c r="P15" s="18"/>
      <c r="Q15" s="18"/>
      <c r="R15" s="19">
        <f t="shared" si="1"/>
        <v>0</v>
      </c>
      <c r="S15" s="20"/>
      <c r="T15" s="21" t="e">
        <f>bdrate($D15:$D18,E15:E18,$L15:$L18,M15:M18)</f>
        <v>#VALUE!</v>
      </c>
      <c r="U15" s="22" t="e">
        <f>bdrate($D15:$D18,F15:F18,$L15:$L18,N15:N18)</f>
        <v>#VALUE!</v>
      </c>
      <c r="V15" s="22" t="e">
        <f>bdrate($D15:$D18,G15:G18,$L15:$L18,O15:O18)</f>
        <v>#VALUE!</v>
      </c>
      <c r="W15" s="44" t="e">
        <f>bdrateOld($D15:$D18,E15:E18,$L15:$L18,M15:M18)</f>
        <v>#VALUE!</v>
      </c>
      <c r="X15" s="45" t="e">
        <f>bdrateOld($D15:$D18,F15:F18,$L15:$L18,N15:N18)</f>
        <v>#VALUE!</v>
      </c>
      <c r="Y15" s="46" t="e">
        <f>bdrateOld($D15:$D18,G15:G18,$L15:$L18,O15:O18)</f>
        <v>#VALUE!</v>
      </c>
    </row>
    <row r="16" spans="1:25" x14ac:dyDescent="0.2">
      <c r="A16" s="118"/>
      <c r="B16" s="118"/>
      <c r="C16" s="118">
        <v>27</v>
      </c>
      <c r="D16" s="28"/>
      <c r="E16" s="29"/>
      <c r="F16" s="29"/>
      <c r="G16" s="29"/>
      <c r="H16" s="29"/>
      <c r="I16" s="29"/>
      <c r="J16" s="27">
        <f t="shared" si="0"/>
        <v>0</v>
      </c>
      <c r="L16" s="28"/>
      <c r="M16" s="29"/>
      <c r="N16" s="29"/>
      <c r="O16" s="29"/>
      <c r="P16" s="29"/>
      <c r="Q16" s="29"/>
      <c r="R16" s="30">
        <f t="shared" si="1"/>
        <v>0</v>
      </c>
      <c r="S16" s="20"/>
      <c r="T16" s="31"/>
      <c r="U16" s="32"/>
      <c r="V16" s="32"/>
      <c r="W16" s="31"/>
      <c r="X16" s="32"/>
      <c r="Y16" s="33"/>
    </row>
    <row r="17" spans="1:25" x14ac:dyDescent="0.2">
      <c r="A17" s="118"/>
      <c r="B17" s="118"/>
      <c r="C17" s="118">
        <v>32</v>
      </c>
      <c r="D17" s="28"/>
      <c r="E17" s="29"/>
      <c r="F17" s="29"/>
      <c r="G17" s="29"/>
      <c r="H17" s="29"/>
      <c r="I17" s="29"/>
      <c r="J17" s="27">
        <f t="shared" si="0"/>
        <v>0</v>
      </c>
      <c r="L17" s="28"/>
      <c r="M17" s="29"/>
      <c r="N17" s="29"/>
      <c r="O17" s="29"/>
      <c r="P17" s="29"/>
      <c r="Q17" s="29"/>
      <c r="R17" s="30">
        <f t="shared" si="1"/>
        <v>0</v>
      </c>
      <c r="S17" s="20"/>
      <c r="T17" s="31"/>
      <c r="U17" s="32"/>
      <c r="V17" s="32"/>
      <c r="W17" s="31"/>
      <c r="X17" s="32"/>
      <c r="Y17" s="33"/>
    </row>
    <row r="18" spans="1:25" ht="12.75" thickBot="1" x14ac:dyDescent="0.25">
      <c r="A18" s="119"/>
      <c r="B18" s="119"/>
      <c r="C18" s="119">
        <v>37</v>
      </c>
      <c r="D18" s="38"/>
      <c r="E18" s="39"/>
      <c r="F18" s="39"/>
      <c r="G18" s="39"/>
      <c r="H18" s="39"/>
      <c r="I18" s="39"/>
      <c r="J18" s="37">
        <f t="shared" si="0"/>
        <v>0</v>
      </c>
      <c r="L18" s="38"/>
      <c r="M18" s="39"/>
      <c r="N18" s="39"/>
      <c r="O18" s="39"/>
      <c r="P18" s="39"/>
      <c r="Q18" s="39"/>
      <c r="R18" s="40">
        <f t="shared" si="1"/>
        <v>0</v>
      </c>
      <c r="S18" s="20"/>
      <c r="T18" s="41"/>
      <c r="U18" s="42"/>
      <c r="V18" s="42"/>
      <c r="W18" s="41"/>
      <c r="X18" s="42"/>
      <c r="Y18" s="43"/>
    </row>
    <row r="19" spans="1:25" x14ac:dyDescent="0.2">
      <c r="A19" s="13" t="s">
        <v>7</v>
      </c>
      <c r="B19" s="13" t="s">
        <v>8</v>
      </c>
      <c r="C19" s="13">
        <v>22</v>
      </c>
      <c r="D19" s="14"/>
      <c r="E19" s="15"/>
      <c r="F19" s="15"/>
      <c r="G19" s="15"/>
      <c r="H19" s="15"/>
      <c r="I19" s="15"/>
      <c r="J19" s="16">
        <f t="shared" si="0"/>
        <v>0</v>
      </c>
      <c r="L19" s="14"/>
      <c r="M19" s="15"/>
      <c r="N19" s="15"/>
      <c r="O19" s="15"/>
      <c r="P19" s="15"/>
      <c r="Q19" s="15"/>
      <c r="R19" s="16">
        <f t="shared" si="1"/>
        <v>0</v>
      </c>
      <c r="S19" s="20"/>
      <c r="T19" s="21" t="e">
        <f>bdrate($D19:$D22,E19:E22,$L19:$L22,M19:M22)</f>
        <v>#VALUE!</v>
      </c>
      <c r="U19" s="22" t="e">
        <f>bdrate($D19:$D22,F19:F22,$L19:$L22,N19:N22)</f>
        <v>#VALUE!</v>
      </c>
      <c r="V19" s="22" t="e">
        <f>bdrate($D19:$D22,G19:G22,$L19:$L22,O19:O22)</f>
        <v>#VALUE!</v>
      </c>
      <c r="W19" s="44" t="e">
        <f>bdrateOld($D19:$D22,E19:E22,$L19:$L22,M19:M22)</f>
        <v>#VALUE!</v>
      </c>
      <c r="X19" s="45" t="e">
        <f>bdrateOld($D19:$D22,F19:F22,$L19:$L22,N19:N22)</f>
        <v>#VALUE!</v>
      </c>
      <c r="Y19" s="46" t="e">
        <f>bdrateOld($D19:$D22,G19:G22,$L19:$L22,O19:O22)</f>
        <v>#VALUE!</v>
      </c>
    </row>
    <row r="20" spans="1:25" x14ac:dyDescent="0.2">
      <c r="A20" s="24" t="s">
        <v>9</v>
      </c>
      <c r="B20" s="24"/>
      <c r="C20" s="24">
        <v>27</v>
      </c>
      <c r="D20" s="25"/>
      <c r="E20" s="26"/>
      <c r="F20" s="26"/>
      <c r="G20" s="26"/>
      <c r="H20" s="26"/>
      <c r="I20" s="26"/>
      <c r="J20" s="27">
        <f t="shared" si="0"/>
        <v>0</v>
      </c>
      <c r="L20" s="25"/>
      <c r="M20" s="26"/>
      <c r="N20" s="26"/>
      <c r="O20" s="26"/>
      <c r="P20" s="26"/>
      <c r="Q20" s="26"/>
      <c r="R20" s="27">
        <f t="shared" si="1"/>
        <v>0</v>
      </c>
      <c r="S20" s="20"/>
      <c r="T20" s="31"/>
      <c r="U20" s="32"/>
      <c r="V20" s="32"/>
      <c r="W20" s="31"/>
      <c r="X20" s="32"/>
      <c r="Y20" s="33"/>
    </row>
    <row r="21" spans="1:25" x14ac:dyDescent="0.2">
      <c r="A21" s="24"/>
      <c r="B21" s="24"/>
      <c r="C21" s="24">
        <v>32</v>
      </c>
      <c r="D21" s="25"/>
      <c r="E21" s="26"/>
      <c r="F21" s="26"/>
      <c r="G21" s="26"/>
      <c r="H21" s="26"/>
      <c r="I21" s="26"/>
      <c r="J21" s="27">
        <f t="shared" si="0"/>
        <v>0</v>
      </c>
      <c r="L21" s="25"/>
      <c r="M21" s="26"/>
      <c r="N21" s="26"/>
      <c r="O21" s="26"/>
      <c r="P21" s="26"/>
      <c r="Q21" s="26"/>
      <c r="R21" s="27">
        <f t="shared" si="1"/>
        <v>0</v>
      </c>
      <c r="S21" s="20"/>
      <c r="T21" s="31"/>
      <c r="U21" s="32"/>
      <c r="V21" s="32"/>
      <c r="W21" s="31"/>
      <c r="X21" s="32"/>
      <c r="Y21" s="33"/>
    </row>
    <row r="22" spans="1:25" ht="12.75" thickBot="1" x14ac:dyDescent="0.25">
      <c r="A22" s="24"/>
      <c r="B22" s="34"/>
      <c r="C22" s="34">
        <v>37</v>
      </c>
      <c r="D22" s="35"/>
      <c r="E22" s="36"/>
      <c r="F22" s="36"/>
      <c r="G22" s="36"/>
      <c r="H22" s="36"/>
      <c r="I22" s="36"/>
      <c r="J22" s="37">
        <f t="shared" si="0"/>
        <v>0</v>
      </c>
      <c r="L22" s="35"/>
      <c r="M22" s="36"/>
      <c r="N22" s="36"/>
      <c r="O22" s="36"/>
      <c r="P22" s="36"/>
      <c r="Q22" s="36"/>
      <c r="R22" s="37">
        <f t="shared" si="1"/>
        <v>0</v>
      </c>
      <c r="S22" s="20"/>
      <c r="T22" s="41"/>
      <c r="U22" s="42"/>
      <c r="V22" s="42"/>
      <c r="W22" s="41"/>
      <c r="X22" s="42"/>
      <c r="Y22" s="43"/>
    </row>
    <row r="23" spans="1:25" x14ac:dyDescent="0.2">
      <c r="A23" s="24"/>
      <c r="B23" s="13" t="s">
        <v>10</v>
      </c>
      <c r="C23" s="13">
        <v>22</v>
      </c>
      <c r="D23" s="14"/>
      <c r="E23" s="15"/>
      <c r="F23" s="15"/>
      <c r="G23" s="15"/>
      <c r="H23" s="15"/>
      <c r="I23" s="15"/>
      <c r="J23" s="16">
        <f t="shared" si="0"/>
        <v>0</v>
      </c>
      <c r="L23" s="14"/>
      <c r="M23" s="15"/>
      <c r="N23" s="15"/>
      <c r="O23" s="15"/>
      <c r="P23" s="15"/>
      <c r="Q23" s="15"/>
      <c r="R23" s="16">
        <f t="shared" si="1"/>
        <v>0</v>
      </c>
      <c r="S23" s="20"/>
      <c r="T23" s="21" t="e">
        <f>bdrate($D23:$D26,E23:E26,$L23:$L26,M23:M26)</f>
        <v>#VALUE!</v>
      </c>
      <c r="U23" s="22" t="e">
        <f>bdrate($D23:$D26,F23:F26,$L23:$L26,N23:N26)</f>
        <v>#VALUE!</v>
      </c>
      <c r="V23" s="22" t="e">
        <f>bdrate($D23:$D26,G23:G26,$L23:$L26,O23:O26)</f>
        <v>#VALUE!</v>
      </c>
      <c r="W23" s="44" t="e">
        <f>bdrateOld($D23:$D26,E23:E26,$L23:$L26,M23:M26)</f>
        <v>#VALUE!</v>
      </c>
      <c r="X23" s="45" t="e">
        <f>bdrateOld($D23:$D26,F23:F26,$L23:$L26,N23:N26)</f>
        <v>#VALUE!</v>
      </c>
      <c r="Y23" s="46" t="e">
        <f>bdrateOld($D23:$D26,G23:G26,$L23:$L26,O23:O26)</f>
        <v>#VALUE!</v>
      </c>
    </row>
    <row r="24" spans="1:25" x14ac:dyDescent="0.2">
      <c r="A24" s="24"/>
      <c r="B24" s="24"/>
      <c r="C24" s="24">
        <v>27</v>
      </c>
      <c r="D24" s="25"/>
      <c r="E24" s="26"/>
      <c r="F24" s="26"/>
      <c r="G24" s="26"/>
      <c r="H24" s="26"/>
      <c r="I24" s="26"/>
      <c r="J24" s="27">
        <f t="shared" si="0"/>
        <v>0</v>
      </c>
      <c r="L24" s="25"/>
      <c r="M24" s="26"/>
      <c r="N24" s="26"/>
      <c r="O24" s="26"/>
      <c r="P24" s="26"/>
      <c r="Q24" s="26"/>
      <c r="R24" s="27">
        <f t="shared" si="1"/>
        <v>0</v>
      </c>
      <c r="S24" s="20"/>
      <c r="T24" s="31"/>
      <c r="U24" s="32"/>
      <c r="V24" s="32"/>
      <c r="W24" s="31"/>
      <c r="X24" s="32"/>
      <c r="Y24" s="33"/>
    </row>
    <row r="25" spans="1:25" x14ac:dyDescent="0.2">
      <c r="A25" s="24"/>
      <c r="B25" s="24"/>
      <c r="C25" s="24">
        <v>32</v>
      </c>
      <c r="D25" s="25"/>
      <c r="E25" s="26"/>
      <c r="F25" s="26"/>
      <c r="G25" s="26"/>
      <c r="H25" s="26"/>
      <c r="I25" s="26"/>
      <c r="J25" s="27">
        <f t="shared" si="0"/>
        <v>0</v>
      </c>
      <c r="L25" s="25"/>
      <c r="M25" s="26"/>
      <c r="N25" s="26"/>
      <c r="O25" s="26"/>
      <c r="P25" s="26"/>
      <c r="Q25" s="26"/>
      <c r="R25" s="27">
        <f t="shared" si="1"/>
        <v>0</v>
      </c>
      <c r="S25" s="20"/>
      <c r="T25" s="31"/>
      <c r="U25" s="32"/>
      <c r="V25" s="32"/>
      <c r="W25" s="31"/>
      <c r="X25" s="32"/>
      <c r="Y25" s="33"/>
    </row>
    <row r="26" spans="1:25" ht="12.75" thickBot="1" x14ac:dyDescent="0.25">
      <c r="A26" s="24"/>
      <c r="B26" s="34"/>
      <c r="C26" s="34">
        <v>37</v>
      </c>
      <c r="D26" s="35"/>
      <c r="E26" s="36"/>
      <c r="F26" s="36"/>
      <c r="G26" s="36"/>
      <c r="H26" s="36"/>
      <c r="I26" s="36"/>
      <c r="J26" s="37">
        <f t="shared" si="0"/>
        <v>0</v>
      </c>
      <c r="L26" s="35"/>
      <c r="M26" s="36"/>
      <c r="N26" s="36"/>
      <c r="O26" s="36"/>
      <c r="P26" s="36"/>
      <c r="Q26" s="36"/>
      <c r="R26" s="37">
        <f t="shared" si="1"/>
        <v>0</v>
      </c>
      <c r="S26" s="20"/>
      <c r="T26" s="41"/>
      <c r="U26" s="42"/>
      <c r="V26" s="42"/>
      <c r="W26" s="41"/>
      <c r="X26" s="42"/>
      <c r="Y26" s="43"/>
    </row>
    <row r="27" spans="1:25" x14ac:dyDescent="0.2">
      <c r="A27" s="24"/>
      <c r="B27" s="13" t="s">
        <v>11</v>
      </c>
      <c r="C27" s="13">
        <v>22</v>
      </c>
      <c r="D27" s="14"/>
      <c r="E27" s="15"/>
      <c r="F27" s="15"/>
      <c r="G27" s="15"/>
      <c r="H27" s="15"/>
      <c r="I27" s="15"/>
      <c r="J27" s="16">
        <f t="shared" si="0"/>
        <v>0</v>
      </c>
      <c r="L27" s="14"/>
      <c r="M27" s="15"/>
      <c r="N27" s="15"/>
      <c r="O27" s="15"/>
      <c r="P27" s="15"/>
      <c r="Q27" s="15"/>
      <c r="R27" s="16">
        <f t="shared" si="1"/>
        <v>0</v>
      </c>
      <c r="S27" s="20"/>
      <c r="T27" s="21" t="e">
        <f>bdrate($D27:$D30,E27:E30,$L27:$L30,M27:M30)</f>
        <v>#VALUE!</v>
      </c>
      <c r="U27" s="22" t="e">
        <f>bdrate($D27:$D30,F27:F30,$L27:$L30,N27:N30)</f>
        <v>#VALUE!</v>
      </c>
      <c r="V27" s="22" t="e">
        <f>bdrate($D27:$D30,G27:G30,$L27:$L30,O27:O30)</f>
        <v>#VALUE!</v>
      </c>
      <c r="W27" s="44" t="e">
        <f>bdrateOld($D27:$D30,E27:E30,$L27:$L30,M27:M30)</f>
        <v>#VALUE!</v>
      </c>
      <c r="X27" s="45" t="e">
        <f>bdrateOld($D27:$D30,F27:F30,$L27:$L30,N27:N30)</f>
        <v>#VALUE!</v>
      </c>
      <c r="Y27" s="46" t="e">
        <f>bdrateOld($D27:$D30,G27:G30,$L27:$L30,O27:O30)</f>
        <v>#VALUE!</v>
      </c>
    </row>
    <row r="28" spans="1:25" x14ac:dyDescent="0.2">
      <c r="A28" s="24"/>
      <c r="B28" s="24"/>
      <c r="C28" s="24">
        <v>27</v>
      </c>
      <c r="D28" s="25"/>
      <c r="E28" s="26"/>
      <c r="F28" s="26"/>
      <c r="G28" s="26"/>
      <c r="H28" s="26"/>
      <c r="I28" s="26"/>
      <c r="J28" s="27">
        <f t="shared" si="0"/>
        <v>0</v>
      </c>
      <c r="L28" s="25"/>
      <c r="M28" s="26"/>
      <c r="N28" s="26"/>
      <c r="O28" s="26"/>
      <c r="P28" s="26"/>
      <c r="Q28" s="26"/>
      <c r="R28" s="27">
        <f t="shared" si="1"/>
        <v>0</v>
      </c>
      <c r="S28" s="20"/>
      <c r="T28" s="31"/>
      <c r="U28" s="32"/>
      <c r="V28" s="32"/>
      <c r="W28" s="31"/>
      <c r="X28" s="32"/>
      <c r="Y28" s="33"/>
    </row>
    <row r="29" spans="1:25" x14ac:dyDescent="0.2">
      <c r="A29" s="24"/>
      <c r="B29" s="24"/>
      <c r="C29" s="24">
        <v>32</v>
      </c>
      <c r="D29" s="25"/>
      <c r="E29" s="26"/>
      <c r="F29" s="26"/>
      <c r="G29" s="26"/>
      <c r="H29" s="26"/>
      <c r="I29" s="26"/>
      <c r="J29" s="27">
        <f t="shared" si="0"/>
        <v>0</v>
      </c>
      <c r="L29" s="25"/>
      <c r="M29" s="26"/>
      <c r="N29" s="26"/>
      <c r="O29" s="26"/>
      <c r="P29" s="26"/>
      <c r="Q29" s="26"/>
      <c r="R29" s="27">
        <f t="shared" si="1"/>
        <v>0</v>
      </c>
      <c r="S29" s="20"/>
      <c r="T29" s="31"/>
      <c r="U29" s="32"/>
      <c r="V29" s="32"/>
      <c r="W29" s="31"/>
      <c r="X29" s="32"/>
      <c r="Y29" s="33"/>
    </row>
    <row r="30" spans="1:25" ht="12.75" thickBot="1" x14ac:dyDescent="0.25">
      <c r="A30" s="24"/>
      <c r="B30" s="34"/>
      <c r="C30" s="34">
        <v>37</v>
      </c>
      <c r="D30" s="35"/>
      <c r="E30" s="36"/>
      <c r="F30" s="36"/>
      <c r="G30" s="36"/>
      <c r="H30" s="36"/>
      <c r="I30" s="36"/>
      <c r="J30" s="37">
        <f t="shared" si="0"/>
        <v>0</v>
      </c>
      <c r="L30" s="35"/>
      <c r="M30" s="36"/>
      <c r="N30" s="36"/>
      <c r="O30" s="36"/>
      <c r="P30" s="36"/>
      <c r="Q30" s="36"/>
      <c r="R30" s="37">
        <f t="shared" si="1"/>
        <v>0</v>
      </c>
      <c r="S30" s="20"/>
      <c r="T30" s="41"/>
      <c r="U30" s="42"/>
      <c r="V30" s="42"/>
      <c r="W30" s="41"/>
      <c r="X30" s="42"/>
      <c r="Y30" s="43"/>
    </row>
    <row r="31" spans="1:25" x14ac:dyDescent="0.2">
      <c r="A31" s="24"/>
      <c r="B31" s="13" t="s">
        <v>12</v>
      </c>
      <c r="C31" s="13">
        <v>22</v>
      </c>
      <c r="D31" s="14"/>
      <c r="E31" s="15"/>
      <c r="F31" s="15"/>
      <c r="G31" s="15"/>
      <c r="H31" s="15"/>
      <c r="I31" s="15"/>
      <c r="J31" s="16">
        <f t="shared" si="0"/>
        <v>0</v>
      </c>
      <c r="L31" s="14"/>
      <c r="M31" s="15"/>
      <c r="N31" s="15"/>
      <c r="O31" s="15"/>
      <c r="P31" s="15"/>
      <c r="Q31" s="15"/>
      <c r="R31" s="16">
        <f t="shared" si="1"/>
        <v>0</v>
      </c>
      <c r="S31" s="20"/>
      <c r="T31" s="21" t="e">
        <f>bdrate($D31:$D34,E31:E34,$L31:$L34,M31:M34)</f>
        <v>#VALUE!</v>
      </c>
      <c r="U31" s="22" t="e">
        <f>bdrate($D31:$D34,F31:F34,$L31:$L34,N31:N34)</f>
        <v>#VALUE!</v>
      </c>
      <c r="V31" s="22" t="e">
        <f>bdrate($D31:$D34,G31:G34,$L31:$L34,O31:O34)</f>
        <v>#VALUE!</v>
      </c>
      <c r="W31" s="44" t="e">
        <f>bdrateOld($D31:$D34,E31:E34,$L31:$L34,M31:M34)</f>
        <v>#VALUE!</v>
      </c>
      <c r="X31" s="45" t="e">
        <f>bdrateOld($D31:$D34,F31:F34,$L31:$L34,N31:N34)</f>
        <v>#VALUE!</v>
      </c>
      <c r="Y31" s="46" t="e">
        <f>bdrateOld($D31:$D34,G31:G34,$L31:$L34,O31:O34)</f>
        <v>#VALUE!</v>
      </c>
    </row>
    <row r="32" spans="1:25" x14ac:dyDescent="0.2">
      <c r="A32" s="24"/>
      <c r="B32" s="24"/>
      <c r="C32" s="24">
        <v>27</v>
      </c>
      <c r="D32" s="25"/>
      <c r="E32" s="26"/>
      <c r="F32" s="26"/>
      <c r="G32" s="26"/>
      <c r="H32" s="26"/>
      <c r="I32" s="26"/>
      <c r="J32" s="27">
        <f t="shared" si="0"/>
        <v>0</v>
      </c>
      <c r="L32" s="25"/>
      <c r="M32" s="26"/>
      <c r="N32" s="26"/>
      <c r="O32" s="26"/>
      <c r="P32" s="26"/>
      <c r="Q32" s="26"/>
      <c r="R32" s="27">
        <f t="shared" si="1"/>
        <v>0</v>
      </c>
      <c r="S32" s="20"/>
      <c r="T32" s="31"/>
      <c r="U32" s="32"/>
      <c r="V32" s="32"/>
      <c r="W32" s="31"/>
      <c r="X32" s="32"/>
      <c r="Y32" s="33"/>
    </row>
    <row r="33" spans="1:25" x14ac:dyDescent="0.2">
      <c r="A33" s="24"/>
      <c r="B33" s="24"/>
      <c r="C33" s="24">
        <v>32</v>
      </c>
      <c r="D33" s="25"/>
      <c r="E33" s="26"/>
      <c r="F33" s="26"/>
      <c r="G33" s="26"/>
      <c r="H33" s="26"/>
      <c r="I33" s="26"/>
      <c r="J33" s="27">
        <f t="shared" si="0"/>
        <v>0</v>
      </c>
      <c r="L33" s="25"/>
      <c r="M33" s="26"/>
      <c r="N33" s="26"/>
      <c r="O33" s="26"/>
      <c r="P33" s="26"/>
      <c r="Q33" s="26"/>
      <c r="R33" s="27">
        <f t="shared" si="1"/>
        <v>0</v>
      </c>
      <c r="S33" s="20"/>
      <c r="T33" s="31"/>
      <c r="U33" s="32"/>
      <c r="V33" s="32"/>
      <c r="W33" s="31"/>
      <c r="X33" s="32"/>
      <c r="Y33" s="33"/>
    </row>
    <row r="34" spans="1:25" ht="12.75" thickBot="1" x14ac:dyDescent="0.25">
      <c r="A34" s="24"/>
      <c r="B34" s="34"/>
      <c r="C34" s="34">
        <v>37</v>
      </c>
      <c r="D34" s="35"/>
      <c r="E34" s="36"/>
      <c r="F34" s="36"/>
      <c r="G34" s="36"/>
      <c r="H34" s="36"/>
      <c r="I34" s="36"/>
      <c r="J34" s="37">
        <f t="shared" si="0"/>
        <v>0</v>
      </c>
      <c r="L34" s="35"/>
      <c r="M34" s="36"/>
      <c r="N34" s="36"/>
      <c r="O34" s="36"/>
      <c r="P34" s="36"/>
      <c r="Q34" s="36"/>
      <c r="R34" s="37">
        <f t="shared" si="1"/>
        <v>0</v>
      </c>
      <c r="S34" s="20"/>
      <c r="T34" s="41"/>
      <c r="U34" s="42"/>
      <c r="V34" s="42"/>
      <c r="W34" s="41"/>
      <c r="X34" s="42"/>
      <c r="Y34" s="43"/>
    </row>
    <row r="35" spans="1:25" x14ac:dyDescent="0.2">
      <c r="A35" s="24"/>
      <c r="B35" s="13" t="s">
        <v>13</v>
      </c>
      <c r="C35" s="13">
        <v>22</v>
      </c>
      <c r="D35" s="14"/>
      <c r="E35" s="15"/>
      <c r="F35" s="15"/>
      <c r="G35" s="15"/>
      <c r="H35" s="15"/>
      <c r="I35" s="15"/>
      <c r="J35" s="16">
        <f t="shared" si="0"/>
        <v>0</v>
      </c>
      <c r="L35" s="14"/>
      <c r="M35" s="15"/>
      <c r="N35" s="15"/>
      <c r="O35" s="15"/>
      <c r="P35" s="15"/>
      <c r="Q35" s="15"/>
      <c r="R35" s="16">
        <f t="shared" si="1"/>
        <v>0</v>
      </c>
      <c r="S35" s="20"/>
      <c r="T35" s="21" t="e">
        <f>bdrate($D35:$D38,E35:E38,$L35:$L38,M35:M38)</f>
        <v>#VALUE!</v>
      </c>
      <c r="U35" s="22" t="e">
        <f>bdrate($D35:$D38,F35:F38,$L35:$L38,N35:N38)</f>
        <v>#VALUE!</v>
      </c>
      <c r="V35" s="22" t="e">
        <f>bdrate($D35:$D38,G35:G38,$L35:$L38,O35:O38)</f>
        <v>#VALUE!</v>
      </c>
      <c r="W35" s="44" t="e">
        <f>bdrateOld($D35:$D38,E35:E38,$L35:$L38,M35:M38)</f>
        <v>#VALUE!</v>
      </c>
      <c r="X35" s="45" t="e">
        <f>bdrateOld($D35:$D38,F35:F38,$L35:$L38,N35:N38)</f>
        <v>#VALUE!</v>
      </c>
      <c r="Y35" s="46" t="e">
        <f>bdrateOld($D35:$D38,G35:G38,$L35:$L38,O35:O38)</f>
        <v>#VALUE!</v>
      </c>
    </row>
    <row r="36" spans="1:25" x14ac:dyDescent="0.2">
      <c r="A36" s="24"/>
      <c r="B36" s="24"/>
      <c r="C36" s="24">
        <v>27</v>
      </c>
      <c r="D36" s="25"/>
      <c r="E36" s="26"/>
      <c r="F36" s="26"/>
      <c r="G36" s="26"/>
      <c r="H36" s="26"/>
      <c r="I36" s="26"/>
      <c r="J36" s="27">
        <f t="shared" si="0"/>
        <v>0</v>
      </c>
      <c r="L36" s="25"/>
      <c r="M36" s="26"/>
      <c r="N36" s="26"/>
      <c r="O36" s="26"/>
      <c r="P36" s="26"/>
      <c r="Q36" s="26"/>
      <c r="R36" s="27">
        <f t="shared" si="1"/>
        <v>0</v>
      </c>
      <c r="S36" s="20"/>
      <c r="T36" s="31"/>
      <c r="U36" s="32"/>
      <c r="V36" s="32"/>
      <c r="W36" s="31"/>
      <c r="X36" s="32"/>
      <c r="Y36" s="33"/>
    </row>
    <row r="37" spans="1:25" x14ac:dyDescent="0.2">
      <c r="A37" s="24"/>
      <c r="B37" s="24"/>
      <c r="C37" s="24">
        <v>32</v>
      </c>
      <c r="D37" s="25"/>
      <c r="E37" s="26"/>
      <c r="F37" s="26"/>
      <c r="G37" s="26"/>
      <c r="H37" s="26"/>
      <c r="I37" s="26"/>
      <c r="J37" s="27">
        <f t="shared" si="0"/>
        <v>0</v>
      </c>
      <c r="L37" s="25"/>
      <c r="M37" s="26"/>
      <c r="N37" s="26"/>
      <c r="O37" s="26"/>
      <c r="P37" s="26"/>
      <c r="Q37" s="26"/>
      <c r="R37" s="27">
        <f t="shared" si="1"/>
        <v>0</v>
      </c>
      <c r="S37" s="20"/>
      <c r="T37" s="31"/>
      <c r="U37" s="32"/>
      <c r="V37" s="32"/>
      <c r="W37" s="31"/>
      <c r="X37" s="32"/>
      <c r="Y37" s="33"/>
    </row>
    <row r="38" spans="1:25" ht="12.75" thickBot="1" x14ac:dyDescent="0.25">
      <c r="A38" s="34"/>
      <c r="B38" s="34"/>
      <c r="C38" s="34">
        <v>37</v>
      </c>
      <c r="D38" s="35"/>
      <c r="E38" s="36"/>
      <c r="F38" s="36"/>
      <c r="G38" s="36"/>
      <c r="H38" s="36"/>
      <c r="I38" s="36"/>
      <c r="J38" s="37">
        <f t="shared" si="0"/>
        <v>0</v>
      </c>
      <c r="L38" s="35"/>
      <c r="M38" s="36"/>
      <c r="N38" s="36"/>
      <c r="O38" s="36"/>
      <c r="P38" s="36"/>
      <c r="Q38" s="36"/>
      <c r="R38" s="37">
        <f t="shared" si="1"/>
        <v>0</v>
      </c>
      <c r="S38" s="20"/>
      <c r="T38" s="41"/>
      <c r="U38" s="42"/>
      <c r="V38" s="42"/>
      <c r="W38" s="41"/>
      <c r="X38" s="42"/>
      <c r="Y38" s="43"/>
    </row>
    <row r="39" spans="1:25" x14ac:dyDescent="0.2">
      <c r="A39" s="13" t="s">
        <v>14</v>
      </c>
      <c r="B39" s="13" t="s">
        <v>15</v>
      </c>
      <c r="C39" s="13">
        <v>22</v>
      </c>
      <c r="D39" s="14"/>
      <c r="E39" s="15"/>
      <c r="F39" s="15"/>
      <c r="G39" s="15"/>
      <c r="H39" s="15"/>
      <c r="I39" s="15"/>
      <c r="J39" s="16">
        <f t="shared" si="0"/>
        <v>0</v>
      </c>
      <c r="L39" s="14"/>
      <c r="M39" s="15"/>
      <c r="N39" s="15"/>
      <c r="O39" s="15"/>
      <c r="P39" s="15"/>
      <c r="Q39" s="15"/>
      <c r="R39" s="16">
        <f t="shared" si="1"/>
        <v>0</v>
      </c>
      <c r="S39" s="20"/>
      <c r="T39" s="21" t="e">
        <f>bdrate($D39:$D42,E39:E42,$L39:$L42,M39:M42)</f>
        <v>#VALUE!</v>
      </c>
      <c r="U39" s="22" t="e">
        <f>bdrate($D39:$D42,F39:F42,$L39:$L42,N39:N42)</f>
        <v>#VALUE!</v>
      </c>
      <c r="V39" s="22" t="e">
        <f>bdrate($D39:$D42,G39:G42,$L39:$L42,O39:O42)</f>
        <v>#VALUE!</v>
      </c>
      <c r="W39" s="44" t="e">
        <f>bdrateOld($D39:$D42,E39:E42,$L39:$L42,M39:M42)</f>
        <v>#VALUE!</v>
      </c>
      <c r="X39" s="45" t="e">
        <f>bdrateOld($D39:$D42,F39:F42,$L39:$L42,N39:N42)</f>
        <v>#VALUE!</v>
      </c>
      <c r="Y39" s="46" t="e">
        <f>bdrateOld($D39:$D42,G39:G42,$L39:$L42,O39:O42)</f>
        <v>#VALUE!</v>
      </c>
    </row>
    <row r="40" spans="1:25" x14ac:dyDescent="0.2">
      <c r="A40" s="24" t="s">
        <v>16</v>
      </c>
      <c r="B40" s="24"/>
      <c r="C40" s="24">
        <v>27</v>
      </c>
      <c r="D40" s="25"/>
      <c r="E40" s="26"/>
      <c r="F40" s="26"/>
      <c r="G40" s="26"/>
      <c r="H40" s="26"/>
      <c r="I40" s="26"/>
      <c r="J40" s="27">
        <f t="shared" si="0"/>
        <v>0</v>
      </c>
      <c r="L40" s="25"/>
      <c r="M40" s="26"/>
      <c r="N40" s="26"/>
      <c r="O40" s="26"/>
      <c r="P40" s="26"/>
      <c r="Q40" s="26"/>
      <c r="R40" s="27">
        <f t="shared" si="1"/>
        <v>0</v>
      </c>
      <c r="S40" s="20"/>
      <c r="T40" s="31"/>
      <c r="U40" s="32"/>
      <c r="V40" s="32"/>
      <c r="W40" s="31"/>
      <c r="X40" s="32"/>
      <c r="Y40" s="33"/>
    </row>
    <row r="41" spans="1:25" x14ac:dyDescent="0.2">
      <c r="A41" s="24"/>
      <c r="B41" s="24"/>
      <c r="C41" s="24">
        <v>32</v>
      </c>
      <c r="D41" s="25"/>
      <c r="E41" s="26"/>
      <c r="F41" s="26"/>
      <c r="G41" s="26"/>
      <c r="H41" s="26"/>
      <c r="I41" s="26"/>
      <c r="J41" s="27">
        <f t="shared" si="0"/>
        <v>0</v>
      </c>
      <c r="L41" s="25"/>
      <c r="M41" s="26"/>
      <c r="N41" s="26"/>
      <c r="O41" s="26"/>
      <c r="P41" s="26"/>
      <c r="Q41" s="26"/>
      <c r="R41" s="27">
        <f t="shared" si="1"/>
        <v>0</v>
      </c>
      <c r="S41" s="20"/>
      <c r="T41" s="31"/>
      <c r="U41" s="32"/>
      <c r="V41" s="32"/>
      <c r="W41" s="31"/>
      <c r="X41" s="32"/>
      <c r="Y41" s="33"/>
    </row>
    <row r="42" spans="1:25" ht="12.75" thickBot="1" x14ac:dyDescent="0.25">
      <c r="A42" s="24"/>
      <c r="B42" s="34"/>
      <c r="C42" s="34">
        <v>37</v>
      </c>
      <c r="D42" s="35"/>
      <c r="E42" s="36"/>
      <c r="F42" s="36"/>
      <c r="G42" s="36"/>
      <c r="H42" s="36"/>
      <c r="I42" s="36"/>
      <c r="J42" s="37">
        <f t="shared" si="0"/>
        <v>0</v>
      </c>
      <c r="L42" s="35"/>
      <c r="M42" s="36"/>
      <c r="N42" s="36"/>
      <c r="O42" s="36"/>
      <c r="P42" s="36"/>
      <c r="Q42" s="36"/>
      <c r="R42" s="37">
        <f t="shared" si="1"/>
        <v>0</v>
      </c>
      <c r="S42" s="20"/>
      <c r="T42" s="41"/>
      <c r="U42" s="42"/>
      <c r="V42" s="42"/>
      <c r="W42" s="41"/>
      <c r="X42" s="42"/>
      <c r="Y42" s="43"/>
    </row>
    <row r="43" spans="1:25" x14ac:dyDescent="0.2">
      <c r="A43" s="24"/>
      <c r="B43" s="13" t="s">
        <v>17</v>
      </c>
      <c r="C43" s="13">
        <v>22</v>
      </c>
      <c r="D43" s="14"/>
      <c r="E43" s="15"/>
      <c r="F43" s="15"/>
      <c r="G43" s="15"/>
      <c r="H43" s="15"/>
      <c r="I43" s="15"/>
      <c r="J43" s="16">
        <f t="shared" si="0"/>
        <v>0</v>
      </c>
      <c r="L43" s="14"/>
      <c r="M43" s="15"/>
      <c r="N43" s="15"/>
      <c r="O43" s="15"/>
      <c r="P43" s="15"/>
      <c r="Q43" s="15"/>
      <c r="R43" s="16">
        <f t="shared" si="1"/>
        <v>0</v>
      </c>
      <c r="S43" s="20"/>
      <c r="T43" s="21" t="e">
        <f>bdrate($D43:$D46,E43:E46,$L43:$L46,M43:M46)</f>
        <v>#VALUE!</v>
      </c>
      <c r="U43" s="22" t="e">
        <f>bdrate($D43:$D46,F43:F46,$L43:$L46,N43:N46)</f>
        <v>#VALUE!</v>
      </c>
      <c r="V43" s="22" t="e">
        <f>bdrate($D43:$D46,G43:G46,$L43:$L46,O43:O46)</f>
        <v>#VALUE!</v>
      </c>
      <c r="W43" s="44" t="e">
        <f>bdrateOld($D43:$D46,E43:E46,$L43:$L46,M43:M46)</f>
        <v>#VALUE!</v>
      </c>
      <c r="X43" s="45" t="e">
        <f>bdrateOld($D43:$D46,F43:F46,$L43:$L46,N43:N46)</f>
        <v>#VALUE!</v>
      </c>
      <c r="Y43" s="46" t="e">
        <f>bdrateOld($D43:$D46,G43:G46,$L43:$L46,O43:O46)</f>
        <v>#VALUE!</v>
      </c>
    </row>
    <row r="44" spans="1:25" x14ac:dyDescent="0.2">
      <c r="A44" s="24"/>
      <c r="B44" s="24"/>
      <c r="C44" s="24">
        <v>27</v>
      </c>
      <c r="D44" s="25"/>
      <c r="E44" s="26"/>
      <c r="F44" s="26"/>
      <c r="G44" s="26"/>
      <c r="H44" s="26"/>
      <c r="I44" s="26"/>
      <c r="J44" s="27">
        <f t="shared" si="0"/>
        <v>0</v>
      </c>
      <c r="L44" s="25"/>
      <c r="M44" s="26"/>
      <c r="N44" s="26"/>
      <c r="O44" s="26"/>
      <c r="P44" s="26"/>
      <c r="Q44" s="26"/>
      <c r="R44" s="27">
        <f t="shared" si="1"/>
        <v>0</v>
      </c>
      <c r="S44" s="20"/>
      <c r="T44" s="31"/>
      <c r="U44" s="32"/>
      <c r="V44" s="32"/>
      <c r="W44" s="31"/>
      <c r="X44" s="32"/>
      <c r="Y44" s="33"/>
    </row>
    <row r="45" spans="1:25" x14ac:dyDescent="0.2">
      <c r="A45" s="24"/>
      <c r="B45" s="24"/>
      <c r="C45" s="24">
        <v>32</v>
      </c>
      <c r="D45" s="25"/>
      <c r="E45" s="26"/>
      <c r="F45" s="26"/>
      <c r="G45" s="26"/>
      <c r="H45" s="26"/>
      <c r="I45" s="26"/>
      <c r="J45" s="27">
        <f t="shared" si="0"/>
        <v>0</v>
      </c>
      <c r="L45" s="25"/>
      <c r="M45" s="26"/>
      <c r="N45" s="26"/>
      <c r="O45" s="26"/>
      <c r="P45" s="26"/>
      <c r="Q45" s="26"/>
      <c r="R45" s="27">
        <f t="shared" si="1"/>
        <v>0</v>
      </c>
      <c r="S45" s="20"/>
      <c r="T45" s="31"/>
      <c r="U45" s="32"/>
      <c r="V45" s="32"/>
      <c r="W45" s="31"/>
      <c r="X45" s="32"/>
      <c r="Y45" s="33"/>
    </row>
    <row r="46" spans="1:25" ht="12.75" thickBot="1" x14ac:dyDescent="0.25">
      <c r="A46" s="24"/>
      <c r="B46" s="34"/>
      <c r="C46" s="34">
        <v>37</v>
      </c>
      <c r="D46" s="35"/>
      <c r="E46" s="36"/>
      <c r="F46" s="36"/>
      <c r="G46" s="36"/>
      <c r="H46" s="36"/>
      <c r="I46" s="36"/>
      <c r="J46" s="37">
        <f t="shared" si="0"/>
        <v>0</v>
      </c>
      <c r="L46" s="35"/>
      <c r="M46" s="36"/>
      <c r="N46" s="36"/>
      <c r="O46" s="36"/>
      <c r="P46" s="36"/>
      <c r="Q46" s="36"/>
      <c r="R46" s="37">
        <f t="shared" si="1"/>
        <v>0</v>
      </c>
      <c r="S46" s="20"/>
      <c r="T46" s="41"/>
      <c r="U46" s="42"/>
      <c r="V46" s="42"/>
      <c r="W46" s="41"/>
      <c r="X46" s="42"/>
      <c r="Y46" s="43"/>
    </row>
    <row r="47" spans="1:25" x14ac:dyDescent="0.2">
      <c r="A47" s="24"/>
      <c r="B47" s="13" t="s">
        <v>18</v>
      </c>
      <c r="C47" s="13">
        <v>22</v>
      </c>
      <c r="D47" s="14"/>
      <c r="E47" s="15"/>
      <c r="F47" s="15"/>
      <c r="G47" s="15"/>
      <c r="H47" s="15"/>
      <c r="I47" s="15"/>
      <c r="J47" s="16">
        <f t="shared" si="0"/>
        <v>0</v>
      </c>
      <c r="L47" s="14"/>
      <c r="M47" s="15"/>
      <c r="N47" s="15"/>
      <c r="O47" s="15"/>
      <c r="P47" s="15"/>
      <c r="Q47" s="15"/>
      <c r="R47" s="16">
        <f t="shared" si="1"/>
        <v>0</v>
      </c>
      <c r="S47" s="20"/>
      <c r="T47" s="21" t="e">
        <f>bdrate($D47:$D50,E47:E50,$L47:$L50,M47:M50)</f>
        <v>#VALUE!</v>
      </c>
      <c r="U47" s="22" t="e">
        <f>bdrate($D47:$D50,F47:F50,$L47:$L50,N47:N50)</f>
        <v>#VALUE!</v>
      </c>
      <c r="V47" s="22" t="e">
        <f>bdrate($D47:$D50,G47:G50,$L47:$L50,O47:O50)</f>
        <v>#VALUE!</v>
      </c>
      <c r="W47" s="44" t="e">
        <f>bdrateOld($D47:$D50,E47:E50,$L47:$L50,M47:M50)</f>
        <v>#VALUE!</v>
      </c>
      <c r="X47" s="45" t="e">
        <f>bdrateOld($D47:$D50,F47:F50,$L47:$L50,N47:N50)</f>
        <v>#VALUE!</v>
      </c>
      <c r="Y47" s="46" t="e">
        <f>bdrateOld($D47:$D50,G47:G50,$L47:$L50,O47:O50)</f>
        <v>#VALUE!</v>
      </c>
    </row>
    <row r="48" spans="1:25" x14ac:dyDescent="0.2">
      <c r="A48" s="24"/>
      <c r="B48" s="24"/>
      <c r="C48" s="24">
        <v>27</v>
      </c>
      <c r="D48" s="25"/>
      <c r="E48" s="26"/>
      <c r="F48" s="26"/>
      <c r="G48" s="26"/>
      <c r="H48" s="26"/>
      <c r="I48" s="26"/>
      <c r="J48" s="27">
        <f t="shared" si="0"/>
        <v>0</v>
      </c>
      <c r="L48" s="25"/>
      <c r="M48" s="26"/>
      <c r="N48" s="26"/>
      <c r="O48" s="26"/>
      <c r="P48" s="26"/>
      <c r="Q48" s="26"/>
      <c r="R48" s="27">
        <f t="shared" si="1"/>
        <v>0</v>
      </c>
      <c r="S48" s="20"/>
      <c r="T48" s="31"/>
      <c r="U48" s="32"/>
      <c r="V48" s="32"/>
      <c r="W48" s="31"/>
      <c r="X48" s="32"/>
      <c r="Y48" s="33"/>
    </row>
    <row r="49" spans="1:25" x14ac:dyDescent="0.2">
      <c r="A49" s="24"/>
      <c r="B49" s="24"/>
      <c r="C49" s="24">
        <v>32</v>
      </c>
      <c r="D49" s="25"/>
      <c r="E49" s="26"/>
      <c r="F49" s="26"/>
      <c r="G49" s="26"/>
      <c r="H49" s="26"/>
      <c r="I49" s="26"/>
      <c r="J49" s="27">
        <f t="shared" si="0"/>
        <v>0</v>
      </c>
      <c r="L49" s="25"/>
      <c r="M49" s="26"/>
      <c r="N49" s="26"/>
      <c r="O49" s="26"/>
      <c r="P49" s="26"/>
      <c r="Q49" s="26"/>
      <c r="R49" s="27">
        <f t="shared" si="1"/>
        <v>0</v>
      </c>
      <c r="S49" s="20"/>
      <c r="T49" s="31"/>
      <c r="U49" s="32"/>
      <c r="V49" s="32"/>
      <c r="W49" s="31"/>
      <c r="X49" s="32"/>
      <c r="Y49" s="33"/>
    </row>
    <row r="50" spans="1:25" ht="12.75" thickBot="1" x14ac:dyDescent="0.25">
      <c r="A50" s="24"/>
      <c r="B50" s="34"/>
      <c r="C50" s="34">
        <v>37</v>
      </c>
      <c r="D50" s="35"/>
      <c r="E50" s="36"/>
      <c r="F50" s="36"/>
      <c r="G50" s="36"/>
      <c r="H50" s="36"/>
      <c r="I50" s="36"/>
      <c r="J50" s="37">
        <f t="shared" si="0"/>
        <v>0</v>
      </c>
      <c r="L50" s="35"/>
      <c r="M50" s="36"/>
      <c r="N50" s="36"/>
      <c r="O50" s="36"/>
      <c r="P50" s="36"/>
      <c r="Q50" s="36"/>
      <c r="R50" s="37">
        <f t="shared" si="1"/>
        <v>0</v>
      </c>
      <c r="S50" s="20"/>
      <c r="T50" s="41"/>
      <c r="U50" s="42"/>
      <c r="V50" s="42"/>
      <c r="W50" s="41"/>
      <c r="X50" s="42"/>
      <c r="Y50" s="43"/>
    </row>
    <row r="51" spans="1:25" x14ac:dyDescent="0.2">
      <c r="A51" s="24"/>
      <c r="B51" s="13" t="s">
        <v>19</v>
      </c>
      <c r="C51" s="13">
        <v>22</v>
      </c>
      <c r="D51" s="14"/>
      <c r="E51" s="15"/>
      <c r="F51" s="15"/>
      <c r="G51" s="15"/>
      <c r="H51" s="15"/>
      <c r="I51" s="15"/>
      <c r="J51" s="16">
        <f t="shared" si="0"/>
        <v>0</v>
      </c>
      <c r="L51" s="14"/>
      <c r="M51" s="15"/>
      <c r="N51" s="15"/>
      <c r="O51" s="15"/>
      <c r="P51" s="15"/>
      <c r="Q51" s="15"/>
      <c r="R51" s="16">
        <f t="shared" si="1"/>
        <v>0</v>
      </c>
      <c r="S51" s="20"/>
      <c r="T51" s="21" t="e">
        <f>bdrate($D51:$D54,E51:E54,$L51:$L54,M51:M54)</f>
        <v>#VALUE!</v>
      </c>
      <c r="U51" s="22" t="e">
        <f>bdrate($D51:$D54,F51:F54,$L51:$L54,N51:N54)</f>
        <v>#VALUE!</v>
      </c>
      <c r="V51" s="22" t="e">
        <f>bdrate($D51:$D54,G51:G54,$L51:$L54,O51:O54)</f>
        <v>#VALUE!</v>
      </c>
      <c r="W51" s="44" t="e">
        <f>bdrateOld($D51:$D54,E51:E54,$L51:$L54,M51:M54)</f>
        <v>#VALUE!</v>
      </c>
      <c r="X51" s="45" t="e">
        <f>bdrateOld($D51:$D54,F51:F54,$L51:$L54,N51:N54)</f>
        <v>#VALUE!</v>
      </c>
      <c r="Y51" s="46" t="e">
        <f>bdrateOld($D51:$D54,G51:G54,$L51:$L54,O51:O54)</f>
        <v>#VALUE!</v>
      </c>
    </row>
    <row r="52" spans="1:25" x14ac:dyDescent="0.2">
      <c r="A52" s="24"/>
      <c r="B52" s="24"/>
      <c r="C52" s="24">
        <v>27</v>
      </c>
      <c r="D52" s="25"/>
      <c r="E52" s="26"/>
      <c r="F52" s="26"/>
      <c r="G52" s="26"/>
      <c r="H52" s="26"/>
      <c r="I52" s="26"/>
      <c r="J52" s="27">
        <f t="shared" si="0"/>
        <v>0</v>
      </c>
      <c r="L52" s="25"/>
      <c r="M52" s="26"/>
      <c r="N52" s="26"/>
      <c r="O52" s="26"/>
      <c r="P52" s="26"/>
      <c r="Q52" s="26"/>
      <c r="R52" s="27">
        <f t="shared" si="1"/>
        <v>0</v>
      </c>
      <c r="S52" s="20"/>
      <c r="T52" s="31"/>
      <c r="U52" s="32"/>
      <c r="V52" s="32"/>
      <c r="W52" s="31"/>
      <c r="X52" s="32"/>
      <c r="Y52" s="33"/>
    </row>
    <row r="53" spans="1:25" x14ac:dyDescent="0.2">
      <c r="A53" s="24"/>
      <c r="B53" s="24"/>
      <c r="C53" s="24">
        <v>32</v>
      </c>
      <c r="D53" s="25"/>
      <c r="E53" s="26"/>
      <c r="F53" s="26"/>
      <c r="G53" s="26"/>
      <c r="H53" s="26"/>
      <c r="I53" s="26"/>
      <c r="J53" s="27">
        <f t="shared" si="0"/>
        <v>0</v>
      </c>
      <c r="L53" s="25"/>
      <c r="M53" s="26"/>
      <c r="N53" s="26"/>
      <c r="O53" s="26"/>
      <c r="P53" s="26"/>
      <c r="Q53" s="26"/>
      <c r="R53" s="27">
        <f t="shared" si="1"/>
        <v>0</v>
      </c>
      <c r="S53" s="20"/>
      <c r="T53" s="31"/>
      <c r="U53" s="32"/>
      <c r="V53" s="32"/>
      <c r="W53" s="31"/>
      <c r="X53" s="32"/>
      <c r="Y53" s="33"/>
    </row>
    <row r="54" spans="1:25" ht="12.75" thickBot="1" x14ac:dyDescent="0.25">
      <c r="A54" s="34"/>
      <c r="B54" s="34"/>
      <c r="C54" s="34">
        <v>37</v>
      </c>
      <c r="D54" s="35"/>
      <c r="E54" s="36"/>
      <c r="F54" s="36"/>
      <c r="G54" s="36"/>
      <c r="H54" s="36"/>
      <c r="I54" s="36"/>
      <c r="J54" s="37">
        <f t="shared" si="0"/>
        <v>0</v>
      </c>
      <c r="L54" s="35"/>
      <c r="M54" s="36"/>
      <c r="N54" s="36"/>
      <c r="O54" s="36"/>
      <c r="P54" s="36"/>
      <c r="Q54" s="36"/>
      <c r="R54" s="37">
        <f t="shared" si="1"/>
        <v>0</v>
      </c>
      <c r="S54" s="20"/>
      <c r="T54" s="41"/>
      <c r="U54" s="42"/>
      <c r="V54" s="42"/>
      <c r="W54" s="41"/>
      <c r="X54" s="42"/>
      <c r="Y54" s="43"/>
    </row>
    <row r="55" spans="1:25" x14ac:dyDescent="0.2">
      <c r="A55" s="13" t="s">
        <v>20</v>
      </c>
      <c r="B55" s="13" t="s">
        <v>21</v>
      </c>
      <c r="C55" s="13">
        <v>22</v>
      </c>
      <c r="D55" s="14"/>
      <c r="E55" s="15"/>
      <c r="F55" s="15"/>
      <c r="G55" s="15"/>
      <c r="H55" s="15"/>
      <c r="I55" s="15"/>
      <c r="J55" s="16">
        <f t="shared" si="0"/>
        <v>0</v>
      </c>
      <c r="L55" s="14"/>
      <c r="M55" s="15"/>
      <c r="N55" s="15"/>
      <c r="O55" s="15"/>
      <c r="P55" s="15"/>
      <c r="Q55" s="15"/>
      <c r="R55" s="16">
        <f t="shared" si="1"/>
        <v>0</v>
      </c>
      <c r="S55" s="20"/>
      <c r="T55" s="21" t="e">
        <f>bdrate($D55:$D58,E55:E58,$L55:$L58,M55:M58)</f>
        <v>#VALUE!</v>
      </c>
      <c r="U55" s="22" t="e">
        <f>bdrate($D55:$D58,F55:F58,$L55:$L58,N55:N58)</f>
        <v>#VALUE!</v>
      </c>
      <c r="V55" s="22" t="e">
        <f>bdrate($D55:$D58,G55:G58,$L55:$L58,O55:O58)</f>
        <v>#VALUE!</v>
      </c>
      <c r="W55" s="44" t="e">
        <f>bdrateOld($D55:$D58,E55:E58,$L55:$L58,M55:M58)</f>
        <v>#VALUE!</v>
      </c>
      <c r="X55" s="45" t="e">
        <f>bdrateOld($D55:$D58,F55:F58,$L55:$L58,N55:N58)</f>
        <v>#VALUE!</v>
      </c>
      <c r="Y55" s="46" t="e">
        <f>bdrateOld($D55:$D58,G55:G58,$L55:$L58,O55:O58)</f>
        <v>#VALUE!</v>
      </c>
    </row>
    <row r="56" spans="1:25" x14ac:dyDescent="0.2">
      <c r="A56" s="24" t="s">
        <v>22</v>
      </c>
      <c r="B56" s="24"/>
      <c r="C56" s="24">
        <v>27</v>
      </c>
      <c r="D56" s="25"/>
      <c r="E56" s="26"/>
      <c r="F56" s="26"/>
      <c r="G56" s="26"/>
      <c r="H56" s="26"/>
      <c r="I56" s="26"/>
      <c r="J56" s="27">
        <f t="shared" si="0"/>
        <v>0</v>
      </c>
      <c r="L56" s="25"/>
      <c r="M56" s="26"/>
      <c r="N56" s="26"/>
      <c r="O56" s="26"/>
      <c r="P56" s="26"/>
      <c r="Q56" s="26"/>
      <c r="R56" s="27">
        <f t="shared" si="1"/>
        <v>0</v>
      </c>
      <c r="S56" s="20"/>
      <c r="T56" s="31"/>
      <c r="U56" s="32"/>
      <c r="V56" s="32"/>
      <c r="W56" s="31"/>
      <c r="X56" s="32"/>
      <c r="Y56" s="33"/>
    </row>
    <row r="57" spans="1:25" x14ac:dyDescent="0.2">
      <c r="A57" s="24"/>
      <c r="B57" s="24"/>
      <c r="C57" s="24">
        <v>32</v>
      </c>
      <c r="D57" s="25"/>
      <c r="E57" s="26"/>
      <c r="F57" s="26"/>
      <c r="G57" s="26"/>
      <c r="H57" s="26"/>
      <c r="I57" s="26"/>
      <c r="J57" s="27">
        <f t="shared" si="0"/>
        <v>0</v>
      </c>
      <c r="L57" s="25"/>
      <c r="M57" s="26"/>
      <c r="N57" s="26"/>
      <c r="O57" s="26"/>
      <c r="P57" s="26"/>
      <c r="Q57" s="26"/>
      <c r="R57" s="27">
        <f t="shared" si="1"/>
        <v>0</v>
      </c>
      <c r="S57" s="20"/>
      <c r="T57" s="31"/>
      <c r="U57" s="32"/>
      <c r="V57" s="32"/>
      <c r="W57" s="31"/>
      <c r="X57" s="32"/>
      <c r="Y57" s="33"/>
    </row>
    <row r="58" spans="1:25" ht="12.75" thickBot="1" x14ac:dyDescent="0.25">
      <c r="A58" s="24"/>
      <c r="B58" s="34"/>
      <c r="C58" s="34">
        <v>37</v>
      </c>
      <c r="D58" s="35"/>
      <c r="E58" s="36"/>
      <c r="F58" s="36"/>
      <c r="G58" s="36"/>
      <c r="H58" s="36"/>
      <c r="I58" s="36"/>
      <c r="J58" s="37">
        <f t="shared" si="0"/>
        <v>0</v>
      </c>
      <c r="L58" s="35"/>
      <c r="M58" s="36"/>
      <c r="N58" s="36"/>
      <c r="O58" s="36"/>
      <c r="P58" s="36"/>
      <c r="Q58" s="36"/>
      <c r="R58" s="37">
        <f t="shared" si="1"/>
        <v>0</v>
      </c>
      <c r="S58" s="20"/>
      <c r="T58" s="41"/>
      <c r="U58" s="42"/>
      <c r="V58" s="42"/>
      <c r="W58" s="41"/>
      <c r="X58" s="42"/>
      <c r="Y58" s="43"/>
    </row>
    <row r="59" spans="1:25" x14ac:dyDescent="0.2">
      <c r="A59" s="24"/>
      <c r="B59" s="13" t="s">
        <v>23</v>
      </c>
      <c r="C59" s="13">
        <v>22</v>
      </c>
      <c r="D59" s="14"/>
      <c r="E59" s="15"/>
      <c r="F59" s="15"/>
      <c r="G59" s="15"/>
      <c r="H59" s="15"/>
      <c r="I59" s="15"/>
      <c r="J59" s="16">
        <f t="shared" si="0"/>
        <v>0</v>
      </c>
      <c r="L59" s="14"/>
      <c r="M59" s="15"/>
      <c r="N59" s="15"/>
      <c r="O59" s="15"/>
      <c r="P59" s="15"/>
      <c r="Q59" s="15"/>
      <c r="R59" s="16">
        <f t="shared" si="1"/>
        <v>0</v>
      </c>
      <c r="S59" s="20"/>
      <c r="T59" s="21" t="e">
        <f>bdrate($D59:$D62,E59:E62,$L59:$L62,M59:M62)</f>
        <v>#VALUE!</v>
      </c>
      <c r="U59" s="22" t="e">
        <f>bdrate($D59:$D62,F59:F62,$L59:$L62,N59:N62)</f>
        <v>#VALUE!</v>
      </c>
      <c r="V59" s="22" t="e">
        <f>bdrate($D59:$D62,G59:G62,$L59:$L62,O59:O62)</f>
        <v>#VALUE!</v>
      </c>
      <c r="W59" s="44" t="e">
        <f>bdrateOld($D59:$D62,E59:E62,$L59:$L62,M59:M62)</f>
        <v>#VALUE!</v>
      </c>
      <c r="X59" s="45" t="e">
        <f>bdrateOld($D59:$D62,F59:F62,$L59:$L62,N59:N62)</f>
        <v>#VALUE!</v>
      </c>
      <c r="Y59" s="46" t="e">
        <f>bdrateOld($D59:$D62,G59:G62,$L59:$L62,O59:O62)</f>
        <v>#VALUE!</v>
      </c>
    </row>
    <row r="60" spans="1:25" x14ac:dyDescent="0.2">
      <c r="A60" s="24"/>
      <c r="B60" s="24"/>
      <c r="C60" s="24">
        <v>27</v>
      </c>
      <c r="D60" s="25"/>
      <c r="E60" s="26"/>
      <c r="F60" s="26"/>
      <c r="G60" s="26"/>
      <c r="H60" s="26"/>
      <c r="I60" s="26"/>
      <c r="J60" s="27">
        <f t="shared" si="0"/>
        <v>0</v>
      </c>
      <c r="L60" s="25"/>
      <c r="M60" s="26"/>
      <c r="N60" s="26"/>
      <c r="O60" s="26"/>
      <c r="P60" s="26"/>
      <c r="Q60" s="26"/>
      <c r="R60" s="27">
        <f t="shared" si="1"/>
        <v>0</v>
      </c>
      <c r="S60" s="20"/>
      <c r="T60" s="31"/>
      <c r="U60" s="32"/>
      <c r="V60" s="32"/>
      <c r="W60" s="31"/>
      <c r="X60" s="32"/>
      <c r="Y60" s="33"/>
    </row>
    <row r="61" spans="1:25" x14ac:dyDescent="0.2">
      <c r="A61" s="24"/>
      <c r="B61" s="24"/>
      <c r="C61" s="24">
        <v>32</v>
      </c>
      <c r="D61" s="25"/>
      <c r="E61" s="26"/>
      <c r="F61" s="26"/>
      <c r="G61" s="26"/>
      <c r="H61" s="26"/>
      <c r="I61" s="26"/>
      <c r="J61" s="27">
        <f t="shared" si="0"/>
        <v>0</v>
      </c>
      <c r="L61" s="25"/>
      <c r="M61" s="26"/>
      <c r="N61" s="26"/>
      <c r="O61" s="26"/>
      <c r="P61" s="26"/>
      <c r="Q61" s="26"/>
      <c r="R61" s="27">
        <f t="shared" si="1"/>
        <v>0</v>
      </c>
      <c r="S61" s="20"/>
      <c r="T61" s="31"/>
      <c r="U61" s="32"/>
      <c r="V61" s="32"/>
      <c r="W61" s="31"/>
      <c r="X61" s="32"/>
      <c r="Y61" s="33"/>
    </row>
    <row r="62" spans="1:25" ht="12.75" thickBot="1" x14ac:dyDescent="0.25">
      <c r="A62" s="24"/>
      <c r="B62" s="34"/>
      <c r="C62" s="34">
        <v>37</v>
      </c>
      <c r="D62" s="35"/>
      <c r="E62" s="36"/>
      <c r="F62" s="36"/>
      <c r="G62" s="36"/>
      <c r="H62" s="36"/>
      <c r="I62" s="36"/>
      <c r="J62" s="37">
        <f t="shared" si="0"/>
        <v>0</v>
      </c>
      <c r="L62" s="35"/>
      <c r="M62" s="36"/>
      <c r="N62" s="36"/>
      <c r="O62" s="36"/>
      <c r="P62" s="36"/>
      <c r="Q62" s="36"/>
      <c r="R62" s="37">
        <f t="shared" si="1"/>
        <v>0</v>
      </c>
      <c r="S62" s="20"/>
      <c r="T62" s="41"/>
      <c r="U62" s="42"/>
      <c r="V62" s="42"/>
      <c r="W62" s="41"/>
      <c r="X62" s="42"/>
      <c r="Y62" s="43"/>
    </row>
    <row r="63" spans="1:25" x14ac:dyDescent="0.2">
      <c r="A63" s="24"/>
      <c r="B63" s="13" t="s">
        <v>24</v>
      </c>
      <c r="C63" s="13">
        <v>22</v>
      </c>
      <c r="D63" s="14"/>
      <c r="E63" s="15"/>
      <c r="F63" s="15"/>
      <c r="G63" s="15"/>
      <c r="H63" s="15"/>
      <c r="I63" s="15"/>
      <c r="J63" s="16">
        <f t="shared" si="0"/>
        <v>0</v>
      </c>
      <c r="L63" s="14"/>
      <c r="M63" s="15"/>
      <c r="N63" s="15"/>
      <c r="O63" s="15"/>
      <c r="P63" s="15"/>
      <c r="Q63" s="15"/>
      <c r="R63" s="16">
        <f t="shared" si="1"/>
        <v>0</v>
      </c>
      <c r="S63" s="20"/>
      <c r="T63" s="21" t="e">
        <f>bdrate($D63:$D66,E63:E66,$L63:$L66,M63:M66)</f>
        <v>#VALUE!</v>
      </c>
      <c r="U63" s="22" t="e">
        <f>bdrate($D63:$D66,F63:F66,$L63:$L66,N63:N66)</f>
        <v>#VALUE!</v>
      </c>
      <c r="V63" s="22" t="e">
        <f>bdrate($D63:$D66,G63:G66,$L63:$L66,O63:O66)</f>
        <v>#VALUE!</v>
      </c>
      <c r="W63" s="44" t="e">
        <f>bdrateOld($D63:$D66,E63:E66,$L63:$L66,M63:M66)</f>
        <v>#VALUE!</v>
      </c>
      <c r="X63" s="45" t="e">
        <f>bdrateOld($D63:$D66,F63:F66,$L63:$L66,N63:N66)</f>
        <v>#VALUE!</v>
      </c>
      <c r="Y63" s="46" t="e">
        <f>bdrateOld($D63:$D66,G63:G66,$L63:$L66,O63:O66)</f>
        <v>#VALUE!</v>
      </c>
    </row>
    <row r="64" spans="1:25" x14ac:dyDescent="0.2">
      <c r="A64" s="24"/>
      <c r="B64" s="24"/>
      <c r="C64" s="24">
        <v>27</v>
      </c>
      <c r="D64" s="25"/>
      <c r="E64" s="26"/>
      <c r="F64" s="26"/>
      <c r="G64" s="26"/>
      <c r="H64" s="26"/>
      <c r="I64" s="26"/>
      <c r="J64" s="27">
        <f t="shared" si="0"/>
        <v>0</v>
      </c>
      <c r="L64" s="25"/>
      <c r="M64" s="26"/>
      <c r="N64" s="26"/>
      <c r="O64" s="26"/>
      <c r="P64" s="26"/>
      <c r="Q64" s="26"/>
      <c r="R64" s="27">
        <f t="shared" si="1"/>
        <v>0</v>
      </c>
      <c r="S64" s="20"/>
      <c r="T64" s="31"/>
      <c r="U64" s="32"/>
      <c r="V64" s="32"/>
      <c r="W64" s="31"/>
      <c r="X64" s="32"/>
      <c r="Y64" s="33"/>
    </row>
    <row r="65" spans="1:25" x14ac:dyDescent="0.2">
      <c r="A65" s="24"/>
      <c r="B65" s="24"/>
      <c r="C65" s="24">
        <v>32</v>
      </c>
      <c r="D65" s="25"/>
      <c r="E65" s="26"/>
      <c r="F65" s="26"/>
      <c r="G65" s="26"/>
      <c r="H65" s="26"/>
      <c r="I65" s="26"/>
      <c r="J65" s="27">
        <f t="shared" si="0"/>
        <v>0</v>
      </c>
      <c r="L65" s="25"/>
      <c r="M65" s="26"/>
      <c r="N65" s="26"/>
      <c r="O65" s="26"/>
      <c r="P65" s="26"/>
      <c r="Q65" s="26"/>
      <c r="R65" s="27">
        <f t="shared" si="1"/>
        <v>0</v>
      </c>
      <c r="S65" s="20"/>
      <c r="T65" s="31"/>
      <c r="U65" s="32"/>
      <c r="V65" s="32"/>
      <c r="W65" s="31"/>
      <c r="X65" s="32"/>
      <c r="Y65" s="33"/>
    </row>
    <row r="66" spans="1:25" ht="12.75" thickBot="1" x14ac:dyDescent="0.25">
      <c r="A66" s="24"/>
      <c r="B66" s="34"/>
      <c r="C66" s="34">
        <v>37</v>
      </c>
      <c r="D66" s="35"/>
      <c r="E66" s="36"/>
      <c r="F66" s="36"/>
      <c r="G66" s="36"/>
      <c r="H66" s="36"/>
      <c r="I66" s="36"/>
      <c r="J66" s="37">
        <f t="shared" si="0"/>
        <v>0</v>
      </c>
      <c r="L66" s="35"/>
      <c r="M66" s="36"/>
      <c r="N66" s="36"/>
      <c r="O66" s="36"/>
      <c r="P66" s="36"/>
      <c r="Q66" s="36"/>
      <c r="R66" s="37">
        <f t="shared" si="1"/>
        <v>0</v>
      </c>
      <c r="S66" s="20"/>
      <c r="T66" s="41"/>
      <c r="U66" s="42"/>
      <c r="V66" s="42"/>
      <c r="W66" s="41"/>
      <c r="X66" s="42"/>
      <c r="Y66" s="43"/>
    </row>
    <row r="67" spans="1:25" x14ac:dyDescent="0.2">
      <c r="A67" s="24"/>
      <c r="B67" s="13" t="s">
        <v>19</v>
      </c>
      <c r="C67" s="13">
        <v>22</v>
      </c>
      <c r="D67" s="14"/>
      <c r="E67" s="15"/>
      <c r="F67" s="15"/>
      <c r="G67" s="15"/>
      <c r="H67" s="15"/>
      <c r="I67" s="15"/>
      <c r="J67" s="16">
        <f t="shared" si="0"/>
        <v>0</v>
      </c>
      <c r="L67" s="14"/>
      <c r="M67" s="15"/>
      <c r="N67" s="15"/>
      <c r="O67" s="15"/>
      <c r="P67" s="15"/>
      <c r="Q67" s="15"/>
      <c r="R67" s="16">
        <f t="shared" si="1"/>
        <v>0</v>
      </c>
      <c r="S67" s="20"/>
      <c r="T67" s="21" t="e">
        <f>bdrate($D67:$D70,E67:E70,$L67:$L70,M67:M70)</f>
        <v>#VALUE!</v>
      </c>
      <c r="U67" s="22" t="e">
        <f>bdrate($D67:$D70,F67:F70,$L67:$L70,N67:N70)</f>
        <v>#VALUE!</v>
      </c>
      <c r="V67" s="22" t="e">
        <f>bdrate($D67:$D70,G67:G70,$L67:$L70,O67:O70)</f>
        <v>#VALUE!</v>
      </c>
      <c r="W67" s="44" t="e">
        <f>bdrateOld($D67:$D70,E67:E70,$L67:$L70,M67:M70)</f>
        <v>#VALUE!</v>
      </c>
      <c r="X67" s="45" t="e">
        <f>bdrateOld($D67:$D70,F67:F70,$L67:$L70,N67:N70)</f>
        <v>#VALUE!</v>
      </c>
      <c r="Y67" s="46" t="e">
        <f>bdrateOld($D67:$D70,G67:G70,$L67:$L70,O67:O70)</f>
        <v>#VALUE!</v>
      </c>
    </row>
    <row r="68" spans="1:25" x14ac:dyDescent="0.2">
      <c r="A68" s="24"/>
      <c r="B68" s="24"/>
      <c r="C68" s="24">
        <v>27</v>
      </c>
      <c r="D68" s="25"/>
      <c r="E68" s="26"/>
      <c r="F68" s="26"/>
      <c r="G68" s="26"/>
      <c r="H68" s="26"/>
      <c r="I68" s="26"/>
      <c r="J68" s="27">
        <f t="shared" ref="J68:J98" si="2">H68/3600</f>
        <v>0</v>
      </c>
      <c r="L68" s="25"/>
      <c r="M68" s="26"/>
      <c r="N68" s="26"/>
      <c r="O68" s="26"/>
      <c r="P68" s="26"/>
      <c r="Q68" s="26"/>
      <c r="R68" s="27">
        <f t="shared" ref="R68:R98" si="3">P68/3600</f>
        <v>0</v>
      </c>
      <c r="S68" s="20"/>
      <c r="T68" s="31"/>
      <c r="U68" s="32"/>
      <c r="V68" s="32"/>
      <c r="W68" s="31"/>
      <c r="X68" s="32"/>
      <c r="Y68" s="33"/>
    </row>
    <row r="69" spans="1:25" x14ac:dyDescent="0.2">
      <c r="A69" s="24"/>
      <c r="B69" s="24"/>
      <c r="C69" s="24">
        <v>32</v>
      </c>
      <c r="D69" s="25"/>
      <c r="E69" s="26"/>
      <c r="F69" s="26"/>
      <c r="G69" s="26"/>
      <c r="H69" s="26"/>
      <c r="I69" s="26"/>
      <c r="J69" s="27">
        <f t="shared" si="2"/>
        <v>0</v>
      </c>
      <c r="L69" s="25"/>
      <c r="M69" s="26"/>
      <c r="N69" s="26"/>
      <c r="O69" s="26"/>
      <c r="P69" s="26"/>
      <c r="Q69" s="26"/>
      <c r="R69" s="27">
        <f t="shared" si="3"/>
        <v>0</v>
      </c>
      <c r="S69" s="20"/>
      <c r="T69" s="31"/>
      <c r="U69" s="32"/>
      <c r="V69" s="32"/>
      <c r="W69" s="31"/>
      <c r="X69" s="32"/>
      <c r="Y69" s="33"/>
    </row>
    <row r="70" spans="1:25" ht="12.75" thickBot="1" x14ac:dyDescent="0.25">
      <c r="A70" s="34"/>
      <c r="B70" s="34"/>
      <c r="C70" s="34">
        <v>37</v>
      </c>
      <c r="D70" s="35"/>
      <c r="E70" s="36"/>
      <c r="F70" s="36"/>
      <c r="G70" s="36"/>
      <c r="H70" s="36"/>
      <c r="I70" s="36"/>
      <c r="J70" s="37">
        <f t="shared" si="2"/>
        <v>0</v>
      </c>
      <c r="L70" s="35"/>
      <c r="M70" s="36"/>
      <c r="N70" s="36"/>
      <c r="O70" s="36"/>
      <c r="P70" s="36"/>
      <c r="Q70" s="36"/>
      <c r="R70" s="37">
        <f t="shared" si="3"/>
        <v>0</v>
      </c>
      <c r="S70" s="20"/>
      <c r="T70" s="41"/>
      <c r="U70" s="42"/>
      <c r="V70" s="42"/>
      <c r="W70" s="41"/>
      <c r="X70" s="42"/>
      <c r="Y70" s="43"/>
    </row>
    <row r="71" spans="1:25" x14ac:dyDescent="0.2">
      <c r="A71" s="63" t="s">
        <v>25</v>
      </c>
      <c r="B71" s="63" t="s">
        <v>86</v>
      </c>
      <c r="C71" s="63">
        <v>22</v>
      </c>
      <c r="D71" s="64"/>
      <c r="E71" s="65"/>
      <c r="F71" s="65"/>
      <c r="G71" s="65"/>
      <c r="H71" s="65"/>
      <c r="I71" s="65"/>
      <c r="J71" s="66"/>
      <c r="K71" s="67"/>
      <c r="L71" s="64"/>
      <c r="M71" s="65"/>
      <c r="N71" s="65"/>
      <c r="O71" s="65"/>
      <c r="P71" s="65"/>
      <c r="Q71" s="65"/>
      <c r="R71" s="66"/>
      <c r="S71" s="68"/>
      <c r="T71" s="69"/>
      <c r="U71" s="70"/>
      <c r="V71" s="71"/>
      <c r="W71" s="69"/>
      <c r="X71" s="70"/>
      <c r="Y71" s="71"/>
    </row>
    <row r="72" spans="1:25" x14ac:dyDescent="0.2">
      <c r="A72" s="72" t="s">
        <v>26</v>
      </c>
      <c r="B72" s="72"/>
      <c r="C72" s="72">
        <v>27</v>
      </c>
      <c r="D72" s="73"/>
      <c r="E72" s="74"/>
      <c r="F72" s="74"/>
      <c r="G72" s="74"/>
      <c r="H72" s="74"/>
      <c r="I72" s="74"/>
      <c r="J72" s="75"/>
      <c r="K72" s="67"/>
      <c r="L72" s="73"/>
      <c r="M72" s="74"/>
      <c r="N72" s="74"/>
      <c r="O72" s="74"/>
      <c r="P72" s="74"/>
      <c r="Q72" s="74"/>
      <c r="R72" s="75"/>
      <c r="S72" s="68"/>
      <c r="T72" s="76"/>
      <c r="U72" s="77"/>
      <c r="V72" s="78"/>
      <c r="W72" s="76"/>
      <c r="X72" s="77"/>
      <c r="Y72" s="78"/>
    </row>
    <row r="73" spans="1:25" x14ac:dyDescent="0.2">
      <c r="A73" s="72"/>
      <c r="B73" s="72"/>
      <c r="C73" s="72">
        <v>32</v>
      </c>
      <c r="D73" s="73"/>
      <c r="E73" s="74"/>
      <c r="F73" s="74"/>
      <c r="G73" s="74"/>
      <c r="H73" s="74"/>
      <c r="I73" s="74"/>
      <c r="J73" s="75"/>
      <c r="K73" s="67"/>
      <c r="L73" s="73"/>
      <c r="M73" s="74"/>
      <c r="N73" s="74"/>
      <c r="O73" s="74"/>
      <c r="P73" s="74"/>
      <c r="Q73" s="74"/>
      <c r="R73" s="75"/>
      <c r="S73" s="68"/>
      <c r="T73" s="76"/>
      <c r="U73" s="77"/>
      <c r="V73" s="78"/>
      <c r="W73" s="76"/>
      <c r="X73" s="77"/>
      <c r="Y73" s="78"/>
    </row>
    <row r="74" spans="1:25" ht="12.75" thickBot="1" x14ac:dyDescent="0.25">
      <c r="A74" s="72"/>
      <c r="B74" s="79"/>
      <c r="C74" s="79">
        <v>37</v>
      </c>
      <c r="D74" s="80"/>
      <c r="E74" s="81"/>
      <c r="F74" s="81"/>
      <c r="G74" s="81"/>
      <c r="H74" s="81"/>
      <c r="I74" s="81"/>
      <c r="J74" s="82"/>
      <c r="K74" s="67"/>
      <c r="L74" s="80"/>
      <c r="M74" s="81"/>
      <c r="N74" s="81"/>
      <c r="O74" s="81"/>
      <c r="P74" s="81"/>
      <c r="Q74" s="81"/>
      <c r="R74" s="82"/>
      <c r="S74" s="68"/>
      <c r="T74" s="83"/>
      <c r="U74" s="84"/>
      <c r="V74" s="85"/>
      <c r="W74" s="83"/>
      <c r="X74" s="84"/>
      <c r="Y74" s="85"/>
    </row>
    <row r="75" spans="1:25" x14ac:dyDescent="0.2">
      <c r="A75" s="72"/>
      <c r="B75" s="63" t="s">
        <v>87</v>
      </c>
      <c r="C75" s="63">
        <v>22</v>
      </c>
      <c r="D75" s="64"/>
      <c r="E75" s="65"/>
      <c r="F75" s="65"/>
      <c r="G75" s="65"/>
      <c r="H75" s="65"/>
      <c r="I75" s="65"/>
      <c r="J75" s="66"/>
      <c r="K75" s="67"/>
      <c r="L75" s="64"/>
      <c r="M75" s="65"/>
      <c r="N75" s="65"/>
      <c r="O75" s="65"/>
      <c r="P75" s="65"/>
      <c r="Q75" s="65"/>
      <c r="R75" s="66"/>
      <c r="S75" s="68"/>
      <c r="T75" s="69"/>
      <c r="U75" s="70"/>
      <c r="V75" s="71"/>
      <c r="W75" s="69"/>
      <c r="X75" s="70"/>
      <c r="Y75" s="71"/>
    </row>
    <row r="76" spans="1:25" x14ac:dyDescent="0.2">
      <c r="A76" s="72"/>
      <c r="B76" s="72"/>
      <c r="C76" s="72">
        <v>27</v>
      </c>
      <c r="D76" s="73"/>
      <c r="E76" s="74"/>
      <c r="F76" s="74"/>
      <c r="G76" s="74"/>
      <c r="H76" s="74"/>
      <c r="I76" s="74"/>
      <c r="J76" s="75"/>
      <c r="K76" s="67"/>
      <c r="L76" s="73"/>
      <c r="M76" s="74"/>
      <c r="N76" s="74"/>
      <c r="O76" s="74"/>
      <c r="P76" s="74"/>
      <c r="Q76" s="74"/>
      <c r="R76" s="75"/>
      <c r="S76" s="68"/>
      <c r="T76" s="76"/>
      <c r="U76" s="77"/>
      <c r="V76" s="78"/>
      <c r="W76" s="76"/>
      <c r="X76" s="77"/>
      <c r="Y76" s="78"/>
    </row>
    <row r="77" spans="1:25" x14ac:dyDescent="0.2">
      <c r="A77" s="72"/>
      <c r="B77" s="72"/>
      <c r="C77" s="72">
        <v>32</v>
      </c>
      <c r="D77" s="73"/>
      <c r="E77" s="74"/>
      <c r="F77" s="74"/>
      <c r="G77" s="74"/>
      <c r="H77" s="74"/>
      <c r="I77" s="74"/>
      <c r="J77" s="75"/>
      <c r="K77" s="67"/>
      <c r="L77" s="73"/>
      <c r="M77" s="74"/>
      <c r="N77" s="74"/>
      <c r="O77" s="74"/>
      <c r="P77" s="74"/>
      <c r="Q77" s="74"/>
      <c r="R77" s="75"/>
      <c r="S77" s="68"/>
      <c r="T77" s="76"/>
      <c r="U77" s="77"/>
      <c r="V77" s="78"/>
      <c r="W77" s="76"/>
      <c r="X77" s="77"/>
      <c r="Y77" s="78"/>
    </row>
    <row r="78" spans="1:25" ht="12.75" thickBot="1" x14ac:dyDescent="0.25">
      <c r="A78" s="72"/>
      <c r="B78" s="79"/>
      <c r="C78" s="79">
        <v>37</v>
      </c>
      <c r="D78" s="80"/>
      <c r="E78" s="81"/>
      <c r="F78" s="81"/>
      <c r="G78" s="81"/>
      <c r="H78" s="81"/>
      <c r="I78" s="81"/>
      <c r="J78" s="82"/>
      <c r="K78" s="67"/>
      <c r="L78" s="80"/>
      <c r="M78" s="81"/>
      <c r="N78" s="81"/>
      <c r="O78" s="81"/>
      <c r="P78" s="81"/>
      <c r="Q78" s="81"/>
      <c r="R78" s="82"/>
      <c r="S78" s="68"/>
      <c r="T78" s="83"/>
      <c r="U78" s="84"/>
      <c r="V78" s="85"/>
      <c r="W78" s="83"/>
      <c r="X78" s="84"/>
      <c r="Y78" s="85"/>
    </row>
    <row r="79" spans="1:25" x14ac:dyDescent="0.2">
      <c r="A79" s="72"/>
      <c r="B79" s="63" t="s">
        <v>88</v>
      </c>
      <c r="C79" s="63">
        <v>22</v>
      </c>
      <c r="D79" s="64"/>
      <c r="E79" s="65"/>
      <c r="F79" s="65"/>
      <c r="G79" s="65"/>
      <c r="H79" s="65"/>
      <c r="I79" s="65"/>
      <c r="J79" s="66"/>
      <c r="K79" s="67"/>
      <c r="L79" s="64"/>
      <c r="M79" s="65"/>
      <c r="N79" s="65"/>
      <c r="O79" s="65"/>
      <c r="P79" s="65"/>
      <c r="Q79" s="65"/>
      <c r="R79" s="66"/>
      <c r="S79" s="68"/>
      <c r="T79" s="69"/>
      <c r="U79" s="70"/>
      <c r="V79" s="71"/>
      <c r="W79" s="69"/>
      <c r="X79" s="70"/>
      <c r="Y79" s="71"/>
    </row>
    <row r="80" spans="1:25" x14ac:dyDescent="0.2">
      <c r="A80" s="72"/>
      <c r="B80" s="72"/>
      <c r="C80" s="72">
        <v>27</v>
      </c>
      <c r="D80" s="73"/>
      <c r="E80" s="74"/>
      <c r="F80" s="74"/>
      <c r="G80" s="74"/>
      <c r="H80" s="74"/>
      <c r="I80" s="74"/>
      <c r="J80" s="75"/>
      <c r="K80" s="67"/>
      <c r="L80" s="73"/>
      <c r="M80" s="74"/>
      <c r="N80" s="74"/>
      <c r="O80" s="74"/>
      <c r="P80" s="74"/>
      <c r="Q80" s="74"/>
      <c r="R80" s="75"/>
      <c r="S80" s="68"/>
      <c r="T80" s="76"/>
      <c r="U80" s="77"/>
      <c r="V80" s="78"/>
      <c r="W80" s="76"/>
      <c r="X80" s="77"/>
      <c r="Y80" s="78"/>
    </row>
    <row r="81" spans="1:25" x14ac:dyDescent="0.2">
      <c r="A81" s="72"/>
      <c r="B81" s="72"/>
      <c r="C81" s="72">
        <v>32</v>
      </c>
      <c r="D81" s="73"/>
      <c r="E81" s="74"/>
      <c r="F81" s="74"/>
      <c r="G81" s="74"/>
      <c r="H81" s="74"/>
      <c r="I81" s="74"/>
      <c r="J81" s="75"/>
      <c r="K81" s="67"/>
      <c r="L81" s="73"/>
      <c r="M81" s="74"/>
      <c r="N81" s="74"/>
      <c r="O81" s="74"/>
      <c r="P81" s="74"/>
      <c r="Q81" s="74"/>
      <c r="R81" s="75"/>
      <c r="S81" s="68"/>
      <c r="T81" s="76"/>
      <c r="U81" s="77"/>
      <c r="V81" s="78"/>
      <c r="W81" s="76"/>
      <c r="X81" s="77"/>
      <c r="Y81" s="78"/>
    </row>
    <row r="82" spans="1:25" ht="12.75" thickBot="1" x14ac:dyDescent="0.25">
      <c r="A82" s="79"/>
      <c r="B82" s="79"/>
      <c r="C82" s="79">
        <v>37</v>
      </c>
      <c r="D82" s="80"/>
      <c r="E82" s="81"/>
      <c r="F82" s="81"/>
      <c r="G82" s="81"/>
      <c r="H82" s="81"/>
      <c r="I82" s="81"/>
      <c r="J82" s="82"/>
      <c r="K82" s="67"/>
      <c r="L82" s="80"/>
      <c r="M82" s="81"/>
      <c r="N82" s="81"/>
      <c r="O82" s="81"/>
      <c r="P82" s="81"/>
      <c r="Q82" s="81"/>
      <c r="R82" s="82"/>
      <c r="S82" s="68"/>
      <c r="T82" s="83"/>
      <c r="U82" s="84"/>
      <c r="V82" s="85"/>
      <c r="W82" s="83"/>
      <c r="X82" s="84"/>
      <c r="Y82" s="85"/>
    </row>
    <row r="83" spans="1:25" x14ac:dyDescent="0.2">
      <c r="A83" s="117" t="s">
        <v>61</v>
      </c>
      <c r="B83" s="117" t="s">
        <v>62</v>
      </c>
      <c r="C83" s="117">
        <v>22</v>
      </c>
      <c r="D83" s="14"/>
      <c r="E83" s="15"/>
      <c r="F83" s="15"/>
      <c r="G83" s="15"/>
      <c r="H83" s="15"/>
      <c r="I83" s="15"/>
      <c r="J83" s="16">
        <f t="shared" si="2"/>
        <v>0</v>
      </c>
      <c r="L83" s="14"/>
      <c r="M83" s="15"/>
      <c r="N83" s="15"/>
      <c r="O83" s="15"/>
      <c r="P83" s="15"/>
      <c r="Q83" s="15"/>
      <c r="R83" s="16">
        <f t="shared" si="3"/>
        <v>0</v>
      </c>
      <c r="S83" s="20"/>
      <c r="T83" s="21" t="e">
        <f>bdrate($D83:$D86,E83:E86,$L83:$L86,M83:M86)</f>
        <v>#VALUE!</v>
      </c>
      <c r="U83" s="22" t="e">
        <f>bdrate($D83:$D86,F83:F86,$L83:$L86,N83:N86)</f>
        <v>#VALUE!</v>
      </c>
      <c r="V83" s="22" t="e">
        <f>bdrate($D83:$D86,G83:G86,$L83:$L86,O83:O86)</f>
        <v>#VALUE!</v>
      </c>
      <c r="W83" s="44" t="e">
        <f>bdrateOld($D83:$D86,E83:E86,$L83:$L86,M83:M86)</f>
        <v>#VALUE!</v>
      </c>
      <c r="X83" s="45" t="e">
        <f>bdrateOld($D83:$D86,F83:F86,$L83:$L86,N83:N86)</f>
        <v>#VALUE!</v>
      </c>
      <c r="Y83" s="46" t="e">
        <f>bdrateOld($D83:$D86,G83:G86,$L83:$L86,O83:O86)</f>
        <v>#VALUE!</v>
      </c>
    </row>
    <row r="84" spans="1:25" x14ac:dyDescent="0.2">
      <c r="A84" s="118"/>
      <c r="B84" s="118"/>
      <c r="C84" s="118">
        <v>27</v>
      </c>
      <c r="D84" s="25"/>
      <c r="E84" s="26"/>
      <c r="F84" s="26"/>
      <c r="G84" s="26"/>
      <c r="H84" s="26"/>
      <c r="I84" s="26"/>
      <c r="J84" s="27">
        <f t="shared" si="2"/>
        <v>0</v>
      </c>
      <c r="L84" s="25"/>
      <c r="M84" s="26"/>
      <c r="N84" s="26"/>
      <c r="O84" s="26"/>
      <c r="P84" s="26"/>
      <c r="Q84" s="26"/>
      <c r="R84" s="27">
        <f t="shared" si="3"/>
        <v>0</v>
      </c>
      <c r="S84" s="20"/>
      <c r="T84" s="31"/>
      <c r="U84" s="32"/>
      <c r="V84" s="32"/>
      <c r="W84" s="31"/>
      <c r="X84" s="32"/>
      <c r="Y84" s="33"/>
    </row>
    <row r="85" spans="1:25" x14ac:dyDescent="0.2">
      <c r="A85" s="118"/>
      <c r="B85" s="118"/>
      <c r="C85" s="118">
        <v>32</v>
      </c>
      <c r="D85" s="25"/>
      <c r="E85" s="26"/>
      <c r="F85" s="26"/>
      <c r="G85" s="26"/>
      <c r="H85" s="26"/>
      <c r="I85" s="26"/>
      <c r="J85" s="27">
        <f t="shared" si="2"/>
        <v>0</v>
      </c>
      <c r="L85" s="25"/>
      <c r="M85" s="26"/>
      <c r="N85" s="26"/>
      <c r="O85" s="26"/>
      <c r="P85" s="26"/>
      <c r="Q85" s="26"/>
      <c r="R85" s="27">
        <f t="shared" si="3"/>
        <v>0</v>
      </c>
      <c r="S85" s="20"/>
      <c r="T85" s="31"/>
      <c r="U85" s="32"/>
      <c r="V85" s="32"/>
      <c r="W85" s="31"/>
      <c r="X85" s="32"/>
      <c r="Y85" s="33"/>
    </row>
    <row r="86" spans="1:25" ht="12.75" thickBot="1" x14ac:dyDescent="0.25">
      <c r="A86" s="118"/>
      <c r="B86" s="119"/>
      <c r="C86" s="119">
        <v>37</v>
      </c>
      <c r="D86" s="35"/>
      <c r="E86" s="36"/>
      <c r="F86" s="36"/>
      <c r="G86" s="36"/>
      <c r="H86" s="36"/>
      <c r="I86" s="36"/>
      <c r="J86" s="37">
        <f t="shared" si="2"/>
        <v>0</v>
      </c>
      <c r="L86" s="35"/>
      <c r="M86" s="36"/>
      <c r="N86" s="36"/>
      <c r="O86" s="36"/>
      <c r="P86" s="36"/>
      <c r="Q86" s="36"/>
      <c r="R86" s="37">
        <f t="shared" si="3"/>
        <v>0</v>
      </c>
      <c r="S86" s="20"/>
      <c r="T86" s="41"/>
      <c r="U86" s="42"/>
      <c r="V86" s="42"/>
      <c r="W86" s="41"/>
      <c r="X86" s="42"/>
      <c r="Y86" s="43"/>
    </row>
    <row r="87" spans="1:25" x14ac:dyDescent="0.2">
      <c r="A87" s="118"/>
      <c r="B87" s="117" t="s">
        <v>63</v>
      </c>
      <c r="C87" s="117">
        <v>22</v>
      </c>
      <c r="D87" s="14"/>
      <c r="E87" s="15"/>
      <c r="F87" s="15"/>
      <c r="G87" s="15"/>
      <c r="H87" s="15"/>
      <c r="I87" s="15"/>
      <c r="J87" s="16">
        <f t="shared" si="2"/>
        <v>0</v>
      </c>
      <c r="L87" s="14"/>
      <c r="M87" s="15"/>
      <c r="N87" s="15"/>
      <c r="O87" s="15"/>
      <c r="P87" s="15"/>
      <c r="Q87" s="15"/>
      <c r="R87" s="16">
        <f t="shared" si="3"/>
        <v>0</v>
      </c>
      <c r="S87" s="20"/>
      <c r="T87" s="21" t="e">
        <f>bdrate($D87:$D90,E87:E90,$L87:$L90,M87:M90)</f>
        <v>#VALUE!</v>
      </c>
      <c r="U87" s="22" t="e">
        <f>bdrate($D87:$D90,F87:F90,$L87:$L90,N87:N90)</f>
        <v>#VALUE!</v>
      </c>
      <c r="V87" s="22" t="e">
        <f>bdrate($D87:$D90,G87:G90,$L87:$L90,O87:O90)</f>
        <v>#VALUE!</v>
      </c>
      <c r="W87" s="44" t="e">
        <f>bdrateOld($D87:$D90,E87:E90,$L87:$L90,M87:M90)</f>
        <v>#VALUE!</v>
      </c>
      <c r="X87" s="45" t="e">
        <f>bdrateOld($D87:$D90,F87:F90,$L87:$L90,N87:N90)</f>
        <v>#VALUE!</v>
      </c>
      <c r="Y87" s="46" t="e">
        <f>bdrateOld($D87:$D90,G87:G90,$L87:$L90,O87:O90)</f>
        <v>#VALUE!</v>
      </c>
    </row>
    <row r="88" spans="1:25" x14ac:dyDescent="0.2">
      <c r="A88" s="118"/>
      <c r="B88" s="118"/>
      <c r="C88" s="118">
        <v>27</v>
      </c>
      <c r="D88" s="25"/>
      <c r="E88" s="26"/>
      <c r="F88" s="26"/>
      <c r="G88" s="26"/>
      <c r="H88" s="26"/>
      <c r="I88" s="26"/>
      <c r="J88" s="27">
        <f t="shared" si="2"/>
        <v>0</v>
      </c>
      <c r="L88" s="25"/>
      <c r="M88" s="26"/>
      <c r="N88" s="26"/>
      <c r="O88" s="26"/>
      <c r="P88" s="26"/>
      <c r="Q88" s="26"/>
      <c r="R88" s="27">
        <f t="shared" si="3"/>
        <v>0</v>
      </c>
      <c r="S88" s="20"/>
      <c r="T88" s="31"/>
      <c r="U88" s="32"/>
      <c r="V88" s="32"/>
      <c r="W88" s="31"/>
      <c r="X88" s="32"/>
      <c r="Y88" s="33"/>
    </row>
    <row r="89" spans="1:25" x14ac:dyDescent="0.2">
      <c r="A89" s="118"/>
      <c r="B89" s="118"/>
      <c r="C89" s="118">
        <v>32</v>
      </c>
      <c r="D89" s="25"/>
      <c r="E89" s="26"/>
      <c r="F89" s="26"/>
      <c r="G89" s="26"/>
      <c r="H89" s="26"/>
      <c r="I89" s="26"/>
      <c r="J89" s="27">
        <f t="shared" si="2"/>
        <v>0</v>
      </c>
      <c r="L89" s="25"/>
      <c r="M89" s="26"/>
      <c r="N89" s="26"/>
      <c r="O89" s="26"/>
      <c r="P89" s="26"/>
      <c r="Q89" s="26"/>
      <c r="R89" s="27">
        <f t="shared" si="3"/>
        <v>0</v>
      </c>
      <c r="S89" s="20"/>
      <c r="T89" s="31"/>
      <c r="U89" s="32"/>
      <c r="V89" s="32"/>
      <c r="W89" s="31"/>
      <c r="X89" s="32"/>
      <c r="Y89" s="33"/>
    </row>
    <row r="90" spans="1:25" ht="12.75" thickBot="1" x14ac:dyDescent="0.25">
      <c r="A90" s="118"/>
      <c r="B90" s="119"/>
      <c r="C90" s="119">
        <v>37</v>
      </c>
      <c r="D90" s="35"/>
      <c r="E90" s="36"/>
      <c r="F90" s="36"/>
      <c r="G90" s="36"/>
      <c r="H90" s="36"/>
      <c r="I90" s="36"/>
      <c r="J90" s="37">
        <f t="shared" si="2"/>
        <v>0</v>
      </c>
      <c r="L90" s="35"/>
      <c r="M90" s="36"/>
      <c r="N90" s="36"/>
      <c r="O90" s="36"/>
      <c r="P90" s="36"/>
      <c r="Q90" s="36"/>
      <c r="R90" s="37">
        <f t="shared" si="3"/>
        <v>0</v>
      </c>
      <c r="S90" s="20"/>
      <c r="T90" s="41"/>
      <c r="U90" s="42"/>
      <c r="V90" s="42"/>
      <c r="W90" s="41"/>
      <c r="X90" s="42"/>
      <c r="Y90" s="43"/>
    </row>
    <row r="91" spans="1:25" x14ac:dyDescent="0.2">
      <c r="A91" s="118"/>
      <c r="B91" s="117" t="s">
        <v>64</v>
      </c>
      <c r="C91" s="117">
        <v>22</v>
      </c>
      <c r="D91" s="14"/>
      <c r="E91" s="15"/>
      <c r="F91" s="15"/>
      <c r="G91" s="15"/>
      <c r="H91" s="15"/>
      <c r="I91" s="15"/>
      <c r="J91" s="16">
        <f t="shared" si="2"/>
        <v>0</v>
      </c>
      <c r="L91" s="14"/>
      <c r="M91" s="15"/>
      <c r="N91" s="15"/>
      <c r="O91" s="15"/>
      <c r="P91" s="15"/>
      <c r="Q91" s="15"/>
      <c r="R91" s="16">
        <f t="shared" si="3"/>
        <v>0</v>
      </c>
      <c r="S91" s="20"/>
      <c r="T91" s="21" t="e">
        <f>bdrate($D91:$D94,E91:E94,$L91:$L94,M91:M94)</f>
        <v>#VALUE!</v>
      </c>
      <c r="U91" s="22" t="e">
        <f>bdrate($D91:$D94,F91:F94,$L91:$L94,N91:N94)</f>
        <v>#VALUE!</v>
      </c>
      <c r="V91" s="22" t="e">
        <f>bdrate($D91:$D94,G91:G94,$L91:$L94,O91:O94)</f>
        <v>#VALUE!</v>
      </c>
      <c r="W91" s="44" t="e">
        <f>bdrateOld($D91:$D94,E91:E94,$L91:$L94,M91:M94)</f>
        <v>#VALUE!</v>
      </c>
      <c r="X91" s="45" t="e">
        <f>bdrateOld($D91:$D94,F91:F94,$L91:$L94,N91:N94)</f>
        <v>#VALUE!</v>
      </c>
      <c r="Y91" s="46" t="e">
        <f>bdrateOld($D91:$D94,G91:G94,$L91:$L94,O91:O94)</f>
        <v>#VALUE!</v>
      </c>
    </row>
    <row r="92" spans="1:25" x14ac:dyDescent="0.2">
      <c r="A92" s="118"/>
      <c r="B92" s="118"/>
      <c r="C92" s="118">
        <v>27</v>
      </c>
      <c r="D92" s="25"/>
      <c r="E92" s="26"/>
      <c r="F92" s="26"/>
      <c r="G92" s="26"/>
      <c r="H92" s="26"/>
      <c r="I92" s="26"/>
      <c r="J92" s="27">
        <f t="shared" si="2"/>
        <v>0</v>
      </c>
      <c r="L92" s="25"/>
      <c r="M92" s="26"/>
      <c r="N92" s="26"/>
      <c r="O92" s="26"/>
      <c r="P92" s="26"/>
      <c r="Q92" s="26"/>
      <c r="R92" s="27">
        <f t="shared" si="3"/>
        <v>0</v>
      </c>
      <c r="S92" s="20"/>
      <c r="T92" s="31"/>
      <c r="U92" s="32"/>
      <c r="V92" s="32"/>
      <c r="W92" s="31"/>
      <c r="X92" s="32"/>
      <c r="Y92" s="33"/>
    </row>
    <row r="93" spans="1:25" x14ac:dyDescent="0.2">
      <c r="A93" s="118"/>
      <c r="B93" s="118"/>
      <c r="C93" s="118">
        <v>32</v>
      </c>
      <c r="D93" s="25"/>
      <c r="E93" s="26"/>
      <c r="F93" s="26"/>
      <c r="G93" s="26"/>
      <c r="H93" s="26"/>
      <c r="I93" s="26"/>
      <c r="J93" s="27">
        <f t="shared" si="2"/>
        <v>0</v>
      </c>
      <c r="L93" s="25"/>
      <c r="M93" s="26"/>
      <c r="N93" s="26"/>
      <c r="O93" s="26"/>
      <c r="P93" s="26"/>
      <c r="Q93" s="26"/>
      <c r="R93" s="27">
        <f t="shared" si="3"/>
        <v>0</v>
      </c>
      <c r="S93" s="20"/>
      <c r="T93" s="31"/>
      <c r="U93" s="32"/>
      <c r="V93" s="32"/>
      <c r="W93" s="31"/>
      <c r="X93" s="32"/>
      <c r="Y93" s="33"/>
    </row>
    <row r="94" spans="1:25" ht="12.75" thickBot="1" x14ac:dyDescent="0.25">
      <c r="A94" s="118"/>
      <c r="B94" s="119"/>
      <c r="C94" s="119">
        <v>37</v>
      </c>
      <c r="D94" s="35"/>
      <c r="E94" s="36"/>
      <c r="F94" s="36"/>
      <c r="G94" s="36"/>
      <c r="H94" s="36"/>
      <c r="I94" s="36"/>
      <c r="J94" s="37">
        <f t="shared" si="2"/>
        <v>0</v>
      </c>
      <c r="L94" s="35"/>
      <c r="M94" s="36"/>
      <c r="N94" s="36"/>
      <c r="O94" s="36"/>
      <c r="P94" s="36"/>
      <c r="Q94" s="36"/>
      <c r="R94" s="37">
        <f t="shared" si="3"/>
        <v>0</v>
      </c>
      <c r="S94" s="20"/>
      <c r="T94" s="41"/>
      <c r="U94" s="42"/>
      <c r="V94" s="42"/>
      <c r="W94" s="41"/>
      <c r="X94" s="42"/>
      <c r="Y94" s="43"/>
    </row>
    <row r="95" spans="1:25" x14ac:dyDescent="0.2">
      <c r="A95" s="118"/>
      <c r="B95" s="117" t="s">
        <v>65</v>
      </c>
      <c r="C95" s="117">
        <v>22</v>
      </c>
      <c r="D95" s="14"/>
      <c r="E95" s="15"/>
      <c r="F95" s="15"/>
      <c r="G95" s="15"/>
      <c r="H95" s="15"/>
      <c r="I95" s="15"/>
      <c r="J95" s="16">
        <f t="shared" si="2"/>
        <v>0</v>
      </c>
      <c r="L95" s="14"/>
      <c r="M95" s="15"/>
      <c r="N95" s="15"/>
      <c r="O95" s="15"/>
      <c r="P95" s="15"/>
      <c r="Q95" s="15"/>
      <c r="R95" s="16">
        <f t="shared" si="3"/>
        <v>0</v>
      </c>
      <c r="S95" s="20"/>
      <c r="T95" s="21" t="e">
        <f>bdrate($D95:$D98,E95:E98,$L95:$L98,M95:M98)</f>
        <v>#VALUE!</v>
      </c>
      <c r="U95" s="22" t="e">
        <f>bdrate($D95:$D98,F95:F98,$L95:$L98,N95:N98)</f>
        <v>#VALUE!</v>
      </c>
      <c r="V95" s="22" t="e">
        <f>bdrate($D95:$D98,G95:G98,$L95:$L98,O95:O98)</f>
        <v>#VALUE!</v>
      </c>
      <c r="W95" s="44" t="e">
        <f>bdrateOld($D95:$D98,E95:E98,$L95:$L98,M95:M98)</f>
        <v>#VALUE!</v>
      </c>
      <c r="X95" s="45" t="e">
        <f>bdrateOld($D95:$D98,F95:F98,$L95:$L98,N95:N98)</f>
        <v>#VALUE!</v>
      </c>
      <c r="Y95" s="46" t="e">
        <f>bdrateOld($D95:$D98,G95:G98,$L95:$L98,O95:O98)</f>
        <v>#VALUE!</v>
      </c>
    </row>
    <row r="96" spans="1:25" x14ac:dyDescent="0.2">
      <c r="A96" s="118"/>
      <c r="B96" s="118"/>
      <c r="C96" s="118">
        <v>27</v>
      </c>
      <c r="D96" s="25"/>
      <c r="E96" s="26"/>
      <c r="F96" s="26"/>
      <c r="G96" s="26"/>
      <c r="H96" s="26"/>
      <c r="I96" s="26"/>
      <c r="J96" s="27">
        <f t="shared" si="2"/>
        <v>0</v>
      </c>
      <c r="L96" s="25"/>
      <c r="M96" s="26"/>
      <c r="N96" s="26"/>
      <c r="O96" s="26"/>
      <c r="P96" s="26"/>
      <c r="Q96" s="26"/>
      <c r="R96" s="27">
        <f t="shared" si="3"/>
        <v>0</v>
      </c>
      <c r="S96" s="20"/>
      <c r="T96" s="31"/>
      <c r="U96" s="32"/>
      <c r="V96" s="32"/>
      <c r="W96" s="31"/>
      <c r="X96" s="32"/>
      <c r="Y96" s="33"/>
    </row>
    <row r="97" spans="1:25" x14ac:dyDescent="0.2">
      <c r="A97" s="118"/>
      <c r="B97" s="118"/>
      <c r="C97" s="118">
        <v>32</v>
      </c>
      <c r="D97" s="25"/>
      <c r="E97" s="26"/>
      <c r="F97" s="26"/>
      <c r="G97" s="26"/>
      <c r="H97" s="26"/>
      <c r="I97" s="26"/>
      <c r="J97" s="27">
        <f t="shared" si="2"/>
        <v>0</v>
      </c>
      <c r="L97" s="25"/>
      <c r="M97" s="26"/>
      <c r="N97" s="26"/>
      <c r="O97" s="26"/>
      <c r="P97" s="26"/>
      <c r="Q97" s="26"/>
      <c r="R97" s="27">
        <f t="shared" si="3"/>
        <v>0</v>
      </c>
      <c r="S97" s="20"/>
      <c r="T97" s="31"/>
      <c r="U97" s="32"/>
      <c r="V97" s="32"/>
      <c r="W97" s="31"/>
      <c r="X97" s="32"/>
      <c r="Y97" s="33"/>
    </row>
    <row r="98" spans="1:25" ht="12.75" thickBot="1" x14ac:dyDescent="0.25">
      <c r="A98" s="119"/>
      <c r="B98" s="119"/>
      <c r="C98" s="119">
        <v>37</v>
      </c>
      <c r="D98" s="35"/>
      <c r="E98" s="36"/>
      <c r="F98" s="36"/>
      <c r="G98" s="36"/>
      <c r="H98" s="36"/>
      <c r="I98" s="36"/>
      <c r="J98" s="37">
        <f t="shared" si="2"/>
        <v>0</v>
      </c>
      <c r="L98" s="35"/>
      <c r="M98" s="36"/>
      <c r="N98" s="36"/>
      <c r="O98" s="36"/>
      <c r="P98" s="36"/>
      <c r="Q98" s="36"/>
      <c r="R98" s="37">
        <f t="shared" si="3"/>
        <v>0</v>
      </c>
      <c r="S98" s="20"/>
      <c r="T98" s="31"/>
      <c r="U98" s="32"/>
      <c r="V98" s="32"/>
      <c r="W98" s="31"/>
      <c r="X98" s="32"/>
      <c r="Y98" s="33"/>
    </row>
    <row r="99" spans="1:25" x14ac:dyDescent="0.2">
      <c r="B99" s="1" t="s">
        <v>2</v>
      </c>
      <c r="T99" s="21" t="e">
        <f t="shared" ref="T99:Y99" si="4">AVERAGE(T3,T7,T11,T15)</f>
        <v>#VALUE!</v>
      </c>
      <c r="U99" s="22" t="e">
        <f t="shared" si="4"/>
        <v>#VALUE!</v>
      </c>
      <c r="V99" s="22" t="e">
        <f t="shared" si="4"/>
        <v>#VALUE!</v>
      </c>
      <c r="W99" s="21" t="e">
        <f t="shared" si="4"/>
        <v>#VALUE!</v>
      </c>
      <c r="X99" s="22" t="e">
        <f t="shared" si="4"/>
        <v>#VALUE!</v>
      </c>
      <c r="Y99" s="23" t="e">
        <f t="shared" si="4"/>
        <v>#VALUE!</v>
      </c>
    </row>
    <row r="100" spans="1:25" x14ac:dyDescent="0.2">
      <c r="B100" s="1" t="s">
        <v>7</v>
      </c>
      <c r="T100" s="44" t="e">
        <f t="shared" ref="T100:Y100" si="5">AVERAGE(T19,T23,T27,T31,T35)</f>
        <v>#VALUE!</v>
      </c>
      <c r="U100" s="45" t="e">
        <f t="shared" si="5"/>
        <v>#VALUE!</v>
      </c>
      <c r="V100" s="45" t="e">
        <f t="shared" si="5"/>
        <v>#VALUE!</v>
      </c>
      <c r="W100" s="44" t="e">
        <f t="shared" si="5"/>
        <v>#VALUE!</v>
      </c>
      <c r="X100" s="45" t="e">
        <f t="shared" si="5"/>
        <v>#VALUE!</v>
      </c>
      <c r="Y100" s="46" t="e">
        <f t="shared" si="5"/>
        <v>#VALUE!</v>
      </c>
    </row>
    <row r="101" spans="1:25" x14ac:dyDescent="0.2">
      <c r="B101" s="1" t="s">
        <v>14</v>
      </c>
      <c r="T101" s="44" t="e">
        <f t="shared" ref="T101:Y101" si="6">AVERAGE(T39,T43,T47,T51)</f>
        <v>#VALUE!</v>
      </c>
      <c r="U101" s="45" t="e">
        <f t="shared" si="6"/>
        <v>#VALUE!</v>
      </c>
      <c r="V101" s="45" t="e">
        <f t="shared" si="6"/>
        <v>#VALUE!</v>
      </c>
      <c r="W101" s="44" t="e">
        <f t="shared" si="6"/>
        <v>#VALUE!</v>
      </c>
      <c r="X101" s="45" t="e">
        <f t="shared" si="6"/>
        <v>#VALUE!</v>
      </c>
      <c r="Y101" s="46" t="e">
        <f t="shared" si="6"/>
        <v>#VALUE!</v>
      </c>
    </row>
    <row r="102" spans="1:25" x14ac:dyDescent="0.2">
      <c r="B102" s="1" t="s">
        <v>20</v>
      </c>
      <c r="T102" s="44" t="e">
        <f t="shared" ref="T102:Y102" si="7">AVERAGE(T55,T59,T63,T67)</f>
        <v>#VALUE!</v>
      </c>
      <c r="U102" s="45" t="e">
        <f t="shared" si="7"/>
        <v>#VALUE!</v>
      </c>
      <c r="V102" s="45" t="e">
        <f t="shared" si="7"/>
        <v>#VALUE!</v>
      </c>
      <c r="W102" s="44" t="e">
        <f t="shared" si="7"/>
        <v>#VALUE!</v>
      </c>
      <c r="X102" s="45" t="e">
        <f t="shared" si="7"/>
        <v>#VALUE!</v>
      </c>
      <c r="Y102" s="46" t="e">
        <f t="shared" si="7"/>
        <v>#VALUE!</v>
      </c>
    </row>
    <row r="103" spans="1:25" x14ac:dyDescent="0.2">
      <c r="B103" s="1" t="s">
        <v>27</v>
      </c>
      <c r="T103" s="44"/>
      <c r="U103" s="45"/>
      <c r="V103" s="45"/>
      <c r="W103" s="44"/>
      <c r="X103" s="45"/>
      <c r="Y103" s="46"/>
    </row>
    <row r="104" spans="1:25" ht="12.75" thickBot="1" x14ac:dyDescent="0.25">
      <c r="B104" s="1" t="s">
        <v>66</v>
      </c>
      <c r="T104" s="48" t="e">
        <f t="shared" ref="T104:Y104" si="8">AVERAGE(T83,T87,T91,T95)</f>
        <v>#VALUE!</v>
      </c>
      <c r="U104" s="49" t="e">
        <f t="shared" si="8"/>
        <v>#VALUE!</v>
      </c>
      <c r="V104" s="49" t="e">
        <f t="shared" si="8"/>
        <v>#VALUE!</v>
      </c>
      <c r="W104" s="48" t="e">
        <f t="shared" si="8"/>
        <v>#VALUE!</v>
      </c>
      <c r="X104" s="49" t="e">
        <f t="shared" si="8"/>
        <v>#VALUE!</v>
      </c>
      <c r="Y104" s="50" t="e">
        <f t="shared" si="8"/>
        <v>#VALUE!</v>
      </c>
    </row>
    <row r="105" spans="1:25" ht="12.75" thickBot="1" x14ac:dyDescent="0.25">
      <c r="A105" s="3"/>
      <c r="B105" s="4" t="s">
        <v>28</v>
      </c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1" t="e">
        <f t="shared" ref="T105:Y105" si="9">AVERAGE(T3:T98)</f>
        <v>#VALUE!</v>
      </c>
      <c r="U105" s="52" t="e">
        <f t="shared" si="9"/>
        <v>#VALUE!</v>
      </c>
      <c r="V105" s="53" t="e">
        <f t="shared" si="9"/>
        <v>#VALUE!</v>
      </c>
      <c r="W105" s="52" t="e">
        <f t="shared" si="9"/>
        <v>#VALUE!</v>
      </c>
      <c r="X105" s="52" t="e">
        <f t="shared" si="9"/>
        <v>#VALUE!</v>
      </c>
      <c r="Y105" s="53" t="e">
        <f t="shared" si="9"/>
        <v>#VALUE!</v>
      </c>
    </row>
    <row r="106" spans="1:25" x14ac:dyDescent="0.2">
      <c r="B106" s="1" t="s">
        <v>29</v>
      </c>
      <c r="I106" s="54" t="e">
        <f>GEOMEAN(I3:I98)</f>
        <v>#NUM!</v>
      </c>
      <c r="J106" s="54" t="e">
        <f>GEOMEAN(J3:J98)</f>
        <v>#NUM!</v>
      </c>
      <c r="Q106" s="54" t="e">
        <f>GEOMEAN(Q3:Q98)</f>
        <v>#NUM!</v>
      </c>
      <c r="R106" s="54" t="e">
        <f>GEOMEAN(R3:R98)</f>
        <v>#NUM!</v>
      </c>
    </row>
    <row r="107" spans="1:25" x14ac:dyDescent="0.2">
      <c r="B107" s="1" t="s">
        <v>30</v>
      </c>
      <c r="Q107" s="55" t="e">
        <f>Q106/I106</f>
        <v>#NUM!</v>
      </c>
      <c r="R107" s="55" t="e">
        <f>R106/J106</f>
        <v>#NUM!</v>
      </c>
    </row>
    <row r="108" spans="1:25" x14ac:dyDescent="0.2">
      <c r="B108" s="1" t="s">
        <v>31</v>
      </c>
      <c r="I108" s="54">
        <f>SUM(I3:I98)/3600</f>
        <v>0</v>
      </c>
      <c r="J108" s="54">
        <f>SUM(J3:J98)</f>
        <v>0</v>
      </c>
      <c r="Q108" s="54">
        <f>SUM(Q3:Q98)/3600</f>
        <v>0</v>
      </c>
      <c r="R108" s="54">
        <f>SUM(R3:R98)</f>
        <v>0</v>
      </c>
    </row>
    <row r="111" spans="1:25" ht="12.75" thickBot="1" x14ac:dyDescent="0.25">
      <c r="B111" s="1" t="s">
        <v>71</v>
      </c>
      <c r="T111" s="48" t="e">
        <f t="shared" ref="T111:Y111" si="10">AVERAGE(T3,T7)</f>
        <v>#VALUE!</v>
      </c>
      <c r="U111" s="49" t="e">
        <f t="shared" si="10"/>
        <v>#VALUE!</v>
      </c>
      <c r="V111" s="49" t="e">
        <f t="shared" si="10"/>
        <v>#VALUE!</v>
      </c>
      <c r="W111" s="48" t="e">
        <f t="shared" si="10"/>
        <v>#VALUE!</v>
      </c>
      <c r="X111" s="49" t="e">
        <f t="shared" si="10"/>
        <v>#VALUE!</v>
      </c>
      <c r="Y111" s="50" t="e">
        <f t="shared" si="10"/>
        <v>#VALUE!</v>
      </c>
    </row>
    <row r="112" spans="1:25" ht="12.75" thickBot="1" x14ac:dyDescent="0.25">
      <c r="A112" s="3"/>
      <c r="B112" s="4" t="s">
        <v>72</v>
      </c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48" t="e">
        <f t="shared" ref="T112:Y112" si="11">AVERAGE(T3,T7,T11,T15,T19,T23,T27,T31,T35,T39,T43,T47,T51,T55,T59,T63,T67,T71,T75,T79)</f>
        <v>#VALUE!</v>
      </c>
      <c r="U112" s="49" t="e">
        <f t="shared" si="11"/>
        <v>#VALUE!</v>
      </c>
      <c r="V112" s="50" t="e">
        <f t="shared" si="11"/>
        <v>#VALUE!</v>
      </c>
      <c r="W112" s="49" t="e">
        <f t="shared" si="11"/>
        <v>#VALUE!</v>
      </c>
      <c r="X112" s="49" t="e">
        <f t="shared" si="11"/>
        <v>#VALUE!</v>
      </c>
      <c r="Y112" s="50" t="e">
        <f t="shared" si="11"/>
        <v>#VALUE!</v>
      </c>
    </row>
    <row r="113" spans="2:18" x14ac:dyDescent="0.2">
      <c r="B113" s="1" t="s">
        <v>29</v>
      </c>
      <c r="I113" s="54" t="e">
        <f>GEOMEAN(I3:I70)</f>
        <v>#NUM!</v>
      </c>
      <c r="J113" s="54" t="e">
        <f>GEOMEAN(J3:J70)</f>
        <v>#NUM!</v>
      </c>
      <c r="Q113" s="54" t="e">
        <f>GEOMEAN(Q3:Q70)</f>
        <v>#NUM!</v>
      </c>
      <c r="R113" s="54" t="e">
        <f>GEOMEAN(R3:R70)</f>
        <v>#NUM!</v>
      </c>
    </row>
    <row r="114" spans="2:18" x14ac:dyDescent="0.2">
      <c r="B114" s="1" t="s">
        <v>30</v>
      </c>
      <c r="Q114" s="55" t="e">
        <f>Q113/I113</f>
        <v>#NUM!</v>
      </c>
      <c r="R114" s="55" t="e">
        <f>R113/J113</f>
        <v>#NUM!</v>
      </c>
    </row>
  </sheetData>
  <mergeCells count="4">
    <mergeCell ref="D1:J1"/>
    <mergeCell ref="L1:R1"/>
    <mergeCell ref="T1:V1"/>
    <mergeCell ref="W1:Y1"/>
  </mergeCells>
  <phoneticPr fontId="2" type="noConversion"/>
  <conditionalFormatting sqref="W71:Y82">
    <cfRule type="cellIs" dxfId="629" priority="63" operator="greaterThan">
      <formula>0.03</formula>
    </cfRule>
    <cfRule type="cellIs" dxfId="628" priority="64" stopIfTrue="1" operator="lessThan">
      <formula>-0.03</formula>
    </cfRule>
  </conditionalFormatting>
  <conditionalFormatting sqref="T71:V82">
    <cfRule type="cellIs" dxfId="627" priority="203" operator="greaterThan">
      <formula>0.03</formula>
    </cfRule>
    <cfRule type="cellIs" dxfId="626" priority="204" stopIfTrue="1" operator="lessThan">
      <formula>-0.03</formula>
    </cfRule>
  </conditionalFormatting>
  <conditionalFormatting sqref="T3:V70">
    <cfRule type="cellIs" dxfId="625" priority="201" operator="greaterThan">
      <formula>0.03</formula>
    </cfRule>
    <cfRule type="cellIs" dxfId="624" priority="202" stopIfTrue="1" operator="lessThan">
      <formula>-0.03</formula>
    </cfRule>
  </conditionalFormatting>
  <conditionalFormatting sqref="W3">
    <cfRule type="cellIs" dxfId="623" priority="199" operator="greaterThan">
      <formula>0.03</formula>
    </cfRule>
    <cfRule type="cellIs" dxfId="622" priority="200" stopIfTrue="1" operator="lessThan">
      <formula>-0.03</formula>
    </cfRule>
  </conditionalFormatting>
  <conditionalFormatting sqref="X3">
    <cfRule type="cellIs" dxfId="621" priority="197" operator="greaterThan">
      <formula>0.03</formula>
    </cfRule>
    <cfRule type="cellIs" dxfId="620" priority="198" stopIfTrue="1" operator="lessThan">
      <formula>-0.03</formula>
    </cfRule>
  </conditionalFormatting>
  <conditionalFormatting sqref="Y3">
    <cfRule type="cellIs" dxfId="619" priority="195" operator="greaterThan">
      <formula>0.03</formula>
    </cfRule>
    <cfRule type="cellIs" dxfId="618" priority="196" stopIfTrue="1" operator="lessThan">
      <formula>-0.03</formula>
    </cfRule>
  </conditionalFormatting>
  <conditionalFormatting sqref="W7">
    <cfRule type="cellIs" dxfId="617" priority="193" operator="greaterThan">
      <formula>0.03</formula>
    </cfRule>
    <cfRule type="cellIs" dxfId="616" priority="194" stopIfTrue="1" operator="lessThan">
      <formula>-0.03</formula>
    </cfRule>
  </conditionalFormatting>
  <conditionalFormatting sqref="X7">
    <cfRule type="cellIs" dxfId="615" priority="191" operator="greaterThan">
      <formula>0.03</formula>
    </cfRule>
    <cfRule type="cellIs" dxfId="614" priority="192" stopIfTrue="1" operator="lessThan">
      <formula>-0.03</formula>
    </cfRule>
  </conditionalFormatting>
  <conditionalFormatting sqref="Y7">
    <cfRule type="cellIs" dxfId="613" priority="189" operator="greaterThan">
      <formula>0.03</formula>
    </cfRule>
    <cfRule type="cellIs" dxfId="612" priority="190" stopIfTrue="1" operator="lessThan">
      <formula>-0.03</formula>
    </cfRule>
  </conditionalFormatting>
  <conditionalFormatting sqref="W11">
    <cfRule type="cellIs" dxfId="611" priority="187" operator="greaterThan">
      <formula>0.03</formula>
    </cfRule>
    <cfRule type="cellIs" dxfId="610" priority="188" stopIfTrue="1" operator="lessThan">
      <formula>-0.03</formula>
    </cfRule>
  </conditionalFormatting>
  <conditionalFormatting sqref="X11">
    <cfRule type="cellIs" dxfId="609" priority="185" operator="greaterThan">
      <formula>0.03</formula>
    </cfRule>
    <cfRule type="cellIs" dxfId="608" priority="186" stopIfTrue="1" operator="lessThan">
      <formula>-0.03</formula>
    </cfRule>
  </conditionalFormatting>
  <conditionalFormatting sqref="Y11">
    <cfRule type="cellIs" dxfId="607" priority="183" operator="greaterThan">
      <formula>0.03</formula>
    </cfRule>
    <cfRule type="cellIs" dxfId="606" priority="184" stopIfTrue="1" operator="lessThan">
      <formula>-0.03</formula>
    </cfRule>
  </conditionalFormatting>
  <conditionalFormatting sqref="W15">
    <cfRule type="cellIs" dxfId="605" priority="181" operator="greaterThan">
      <formula>0.03</formula>
    </cfRule>
    <cfRule type="cellIs" dxfId="604" priority="182" stopIfTrue="1" operator="lessThan">
      <formula>-0.03</formula>
    </cfRule>
  </conditionalFormatting>
  <conditionalFormatting sqref="X15">
    <cfRule type="cellIs" dxfId="603" priority="179" operator="greaterThan">
      <formula>0.03</formula>
    </cfRule>
    <cfRule type="cellIs" dxfId="602" priority="180" stopIfTrue="1" operator="lessThan">
      <formula>-0.03</formula>
    </cfRule>
  </conditionalFormatting>
  <conditionalFormatting sqref="Y15">
    <cfRule type="cellIs" dxfId="601" priority="177" operator="greaterThan">
      <formula>0.03</formula>
    </cfRule>
    <cfRule type="cellIs" dxfId="600" priority="178" stopIfTrue="1" operator="lessThan">
      <formula>-0.03</formula>
    </cfRule>
  </conditionalFormatting>
  <conditionalFormatting sqref="W19">
    <cfRule type="cellIs" dxfId="599" priority="175" operator="greaterThan">
      <formula>0.03</formula>
    </cfRule>
    <cfRule type="cellIs" dxfId="598" priority="176" stopIfTrue="1" operator="lessThan">
      <formula>-0.03</formula>
    </cfRule>
  </conditionalFormatting>
  <conditionalFormatting sqref="X19">
    <cfRule type="cellIs" dxfId="597" priority="173" operator="greaterThan">
      <formula>0.03</formula>
    </cfRule>
    <cfRule type="cellIs" dxfId="596" priority="174" stopIfTrue="1" operator="lessThan">
      <formula>-0.03</formula>
    </cfRule>
  </conditionalFormatting>
  <conditionalFormatting sqref="Y19">
    <cfRule type="cellIs" dxfId="595" priority="171" operator="greaterThan">
      <formula>0.03</formula>
    </cfRule>
    <cfRule type="cellIs" dxfId="594" priority="172" stopIfTrue="1" operator="lessThan">
      <formula>-0.03</formula>
    </cfRule>
  </conditionalFormatting>
  <conditionalFormatting sqref="W23">
    <cfRule type="cellIs" dxfId="593" priority="169" operator="greaterThan">
      <formula>0.03</formula>
    </cfRule>
    <cfRule type="cellIs" dxfId="592" priority="170" stopIfTrue="1" operator="lessThan">
      <formula>-0.03</formula>
    </cfRule>
  </conditionalFormatting>
  <conditionalFormatting sqref="X23">
    <cfRule type="cellIs" dxfId="591" priority="167" operator="greaterThan">
      <formula>0.03</formula>
    </cfRule>
    <cfRule type="cellIs" dxfId="590" priority="168" stopIfTrue="1" operator="lessThan">
      <formula>-0.03</formula>
    </cfRule>
  </conditionalFormatting>
  <conditionalFormatting sqref="Y23">
    <cfRule type="cellIs" dxfId="589" priority="165" operator="greaterThan">
      <formula>0.03</formula>
    </cfRule>
    <cfRule type="cellIs" dxfId="588" priority="166" stopIfTrue="1" operator="lessThan">
      <formula>-0.03</formula>
    </cfRule>
  </conditionalFormatting>
  <conditionalFormatting sqref="W27">
    <cfRule type="cellIs" dxfId="587" priority="163" operator="greaterThan">
      <formula>0.03</formula>
    </cfRule>
    <cfRule type="cellIs" dxfId="586" priority="164" stopIfTrue="1" operator="lessThan">
      <formula>-0.03</formula>
    </cfRule>
  </conditionalFormatting>
  <conditionalFormatting sqref="X27">
    <cfRule type="cellIs" dxfId="585" priority="161" operator="greaterThan">
      <formula>0.03</formula>
    </cfRule>
    <cfRule type="cellIs" dxfId="584" priority="162" stopIfTrue="1" operator="lessThan">
      <formula>-0.03</formula>
    </cfRule>
  </conditionalFormatting>
  <conditionalFormatting sqref="Y27">
    <cfRule type="cellIs" dxfId="583" priority="159" operator="greaterThan">
      <formula>0.03</formula>
    </cfRule>
    <cfRule type="cellIs" dxfId="582" priority="160" stopIfTrue="1" operator="lessThan">
      <formula>-0.03</formula>
    </cfRule>
  </conditionalFormatting>
  <conditionalFormatting sqref="W31">
    <cfRule type="cellIs" dxfId="581" priority="157" operator="greaterThan">
      <formula>0.03</formula>
    </cfRule>
    <cfRule type="cellIs" dxfId="580" priority="158" stopIfTrue="1" operator="lessThan">
      <formula>-0.03</formula>
    </cfRule>
  </conditionalFormatting>
  <conditionalFormatting sqref="X31">
    <cfRule type="cellIs" dxfId="579" priority="155" operator="greaterThan">
      <formula>0.03</formula>
    </cfRule>
    <cfRule type="cellIs" dxfId="578" priority="156" stopIfTrue="1" operator="lessThan">
      <formula>-0.03</formula>
    </cfRule>
  </conditionalFormatting>
  <conditionalFormatting sqref="Y31">
    <cfRule type="cellIs" dxfId="577" priority="153" operator="greaterThan">
      <formula>0.03</formula>
    </cfRule>
    <cfRule type="cellIs" dxfId="576" priority="154" stopIfTrue="1" operator="lessThan">
      <formula>-0.03</formula>
    </cfRule>
  </conditionalFormatting>
  <conditionalFormatting sqref="W35">
    <cfRule type="cellIs" dxfId="575" priority="151" operator="greaterThan">
      <formula>0.03</formula>
    </cfRule>
    <cfRule type="cellIs" dxfId="574" priority="152" stopIfTrue="1" operator="lessThan">
      <formula>-0.03</formula>
    </cfRule>
  </conditionalFormatting>
  <conditionalFormatting sqref="X35">
    <cfRule type="cellIs" dxfId="573" priority="149" operator="greaterThan">
      <formula>0.03</formula>
    </cfRule>
    <cfRule type="cellIs" dxfId="572" priority="150" stopIfTrue="1" operator="lessThan">
      <formula>-0.03</formula>
    </cfRule>
  </conditionalFormatting>
  <conditionalFormatting sqref="Y35">
    <cfRule type="cellIs" dxfId="571" priority="147" operator="greaterThan">
      <formula>0.03</formula>
    </cfRule>
    <cfRule type="cellIs" dxfId="570" priority="148" stopIfTrue="1" operator="lessThan">
      <formula>-0.03</formula>
    </cfRule>
  </conditionalFormatting>
  <conditionalFormatting sqref="W39">
    <cfRule type="cellIs" dxfId="569" priority="145" operator="greaterThan">
      <formula>0.03</formula>
    </cfRule>
    <cfRule type="cellIs" dxfId="568" priority="146" stopIfTrue="1" operator="lessThan">
      <formula>-0.03</formula>
    </cfRule>
  </conditionalFormatting>
  <conditionalFormatting sqref="X39">
    <cfRule type="cellIs" dxfId="567" priority="143" operator="greaterThan">
      <formula>0.03</formula>
    </cfRule>
    <cfRule type="cellIs" dxfId="566" priority="144" stopIfTrue="1" operator="lessThan">
      <formula>-0.03</formula>
    </cfRule>
  </conditionalFormatting>
  <conditionalFormatting sqref="Y39">
    <cfRule type="cellIs" dxfId="565" priority="141" operator="greaterThan">
      <formula>0.03</formula>
    </cfRule>
    <cfRule type="cellIs" dxfId="564" priority="142" stopIfTrue="1" operator="lessThan">
      <formula>-0.03</formula>
    </cfRule>
  </conditionalFormatting>
  <conditionalFormatting sqref="W43">
    <cfRule type="cellIs" dxfId="563" priority="139" operator="greaterThan">
      <formula>0.03</formula>
    </cfRule>
    <cfRule type="cellIs" dxfId="562" priority="140" stopIfTrue="1" operator="lessThan">
      <formula>-0.03</formula>
    </cfRule>
  </conditionalFormatting>
  <conditionalFormatting sqref="X43">
    <cfRule type="cellIs" dxfId="561" priority="137" operator="greaterThan">
      <formula>0.03</formula>
    </cfRule>
    <cfRule type="cellIs" dxfId="560" priority="138" stopIfTrue="1" operator="lessThan">
      <formula>-0.03</formula>
    </cfRule>
  </conditionalFormatting>
  <conditionalFormatting sqref="Y43">
    <cfRule type="cellIs" dxfId="559" priority="135" operator="greaterThan">
      <formula>0.03</formula>
    </cfRule>
    <cfRule type="cellIs" dxfId="558" priority="136" stopIfTrue="1" operator="lessThan">
      <formula>-0.03</formula>
    </cfRule>
  </conditionalFormatting>
  <conditionalFormatting sqref="W47">
    <cfRule type="cellIs" dxfId="557" priority="133" operator="greaterThan">
      <formula>0.03</formula>
    </cfRule>
    <cfRule type="cellIs" dxfId="556" priority="134" stopIfTrue="1" operator="lessThan">
      <formula>-0.03</formula>
    </cfRule>
  </conditionalFormatting>
  <conditionalFormatting sqref="X47">
    <cfRule type="cellIs" dxfId="555" priority="131" operator="greaterThan">
      <formula>0.03</formula>
    </cfRule>
    <cfRule type="cellIs" dxfId="554" priority="132" stopIfTrue="1" operator="lessThan">
      <formula>-0.03</formula>
    </cfRule>
  </conditionalFormatting>
  <conditionalFormatting sqref="Y47">
    <cfRule type="cellIs" dxfId="553" priority="129" operator="greaterThan">
      <formula>0.03</formula>
    </cfRule>
    <cfRule type="cellIs" dxfId="552" priority="130" stopIfTrue="1" operator="lessThan">
      <formula>-0.03</formula>
    </cfRule>
  </conditionalFormatting>
  <conditionalFormatting sqref="W51">
    <cfRule type="cellIs" dxfId="551" priority="127" operator="greaterThan">
      <formula>0.03</formula>
    </cfRule>
    <cfRule type="cellIs" dxfId="550" priority="128" stopIfTrue="1" operator="lessThan">
      <formula>-0.03</formula>
    </cfRule>
  </conditionalFormatting>
  <conditionalFormatting sqref="X51">
    <cfRule type="cellIs" dxfId="549" priority="125" operator="greaterThan">
      <formula>0.03</formula>
    </cfRule>
    <cfRule type="cellIs" dxfId="548" priority="126" stopIfTrue="1" operator="lessThan">
      <formula>-0.03</formula>
    </cfRule>
  </conditionalFormatting>
  <conditionalFormatting sqref="Y51">
    <cfRule type="cellIs" dxfId="547" priority="123" operator="greaterThan">
      <formula>0.03</formula>
    </cfRule>
    <cfRule type="cellIs" dxfId="546" priority="124" stopIfTrue="1" operator="lessThan">
      <formula>-0.03</formula>
    </cfRule>
  </conditionalFormatting>
  <conditionalFormatting sqref="W55">
    <cfRule type="cellIs" dxfId="545" priority="121" operator="greaterThan">
      <formula>0.03</formula>
    </cfRule>
    <cfRule type="cellIs" dxfId="544" priority="122" stopIfTrue="1" operator="lessThan">
      <formula>-0.03</formula>
    </cfRule>
  </conditionalFormatting>
  <conditionalFormatting sqref="X55">
    <cfRule type="cellIs" dxfId="543" priority="119" operator="greaterThan">
      <formula>0.03</formula>
    </cfRule>
    <cfRule type="cellIs" dxfId="542" priority="120" stopIfTrue="1" operator="lessThan">
      <formula>-0.03</formula>
    </cfRule>
  </conditionalFormatting>
  <conditionalFormatting sqref="Y55">
    <cfRule type="cellIs" dxfId="541" priority="117" operator="greaterThan">
      <formula>0.03</formula>
    </cfRule>
    <cfRule type="cellIs" dxfId="540" priority="118" stopIfTrue="1" operator="lessThan">
      <formula>-0.03</formula>
    </cfRule>
  </conditionalFormatting>
  <conditionalFormatting sqref="W59">
    <cfRule type="cellIs" dxfId="539" priority="115" operator="greaterThan">
      <formula>0.03</formula>
    </cfRule>
    <cfRule type="cellIs" dxfId="538" priority="116" stopIfTrue="1" operator="lessThan">
      <formula>-0.03</formula>
    </cfRule>
  </conditionalFormatting>
  <conditionalFormatting sqref="X59">
    <cfRule type="cellIs" dxfId="537" priority="113" operator="greaterThan">
      <formula>0.03</formula>
    </cfRule>
    <cfRule type="cellIs" dxfId="536" priority="114" stopIfTrue="1" operator="lessThan">
      <formula>-0.03</formula>
    </cfRule>
  </conditionalFormatting>
  <conditionalFormatting sqref="Y59">
    <cfRule type="cellIs" dxfId="535" priority="111" operator="greaterThan">
      <formula>0.03</formula>
    </cfRule>
    <cfRule type="cellIs" dxfId="534" priority="112" stopIfTrue="1" operator="lessThan">
      <formula>-0.03</formula>
    </cfRule>
  </conditionalFormatting>
  <conditionalFormatting sqref="W63">
    <cfRule type="cellIs" dxfId="533" priority="109" operator="greaterThan">
      <formula>0.03</formula>
    </cfRule>
    <cfRule type="cellIs" dxfId="532" priority="110" stopIfTrue="1" operator="lessThan">
      <formula>-0.03</formula>
    </cfRule>
  </conditionalFormatting>
  <conditionalFormatting sqref="X63">
    <cfRule type="cellIs" dxfId="531" priority="107" operator="greaterThan">
      <formula>0.03</formula>
    </cfRule>
    <cfRule type="cellIs" dxfId="530" priority="108" stopIfTrue="1" operator="lessThan">
      <formula>-0.03</formula>
    </cfRule>
  </conditionalFormatting>
  <conditionalFormatting sqref="Y63">
    <cfRule type="cellIs" dxfId="529" priority="105" operator="greaterThan">
      <formula>0.03</formula>
    </cfRule>
    <cfRule type="cellIs" dxfId="528" priority="106" stopIfTrue="1" operator="lessThan">
      <formula>-0.03</formula>
    </cfRule>
  </conditionalFormatting>
  <conditionalFormatting sqref="W67">
    <cfRule type="cellIs" dxfId="527" priority="103" operator="greaterThan">
      <formula>0.03</formula>
    </cfRule>
    <cfRule type="cellIs" dxfId="526" priority="104" stopIfTrue="1" operator="lessThan">
      <formula>-0.03</formula>
    </cfRule>
  </conditionalFormatting>
  <conditionalFormatting sqref="X67">
    <cfRule type="cellIs" dxfId="525" priority="101" operator="greaterThan">
      <formula>0.03</formula>
    </cfRule>
    <cfRule type="cellIs" dxfId="524" priority="102" stopIfTrue="1" operator="lessThan">
      <formula>-0.03</formula>
    </cfRule>
  </conditionalFormatting>
  <conditionalFormatting sqref="Y67">
    <cfRule type="cellIs" dxfId="523" priority="99" operator="greaterThan">
      <formula>0.03</formula>
    </cfRule>
    <cfRule type="cellIs" dxfId="522" priority="100" stopIfTrue="1" operator="lessThan">
      <formula>-0.03</formula>
    </cfRule>
  </conditionalFormatting>
  <conditionalFormatting sqref="W6:X6">
    <cfRule type="cellIs" dxfId="521" priority="97" operator="greaterThan">
      <formula>0.03</formula>
    </cfRule>
    <cfRule type="cellIs" dxfId="520" priority="98" stopIfTrue="1" operator="lessThan">
      <formula>-0.03</formula>
    </cfRule>
  </conditionalFormatting>
  <conditionalFormatting sqref="W10:X10">
    <cfRule type="cellIs" dxfId="519" priority="95" operator="greaterThan">
      <formula>0.03</formula>
    </cfRule>
    <cfRule type="cellIs" dxfId="518" priority="96" stopIfTrue="1" operator="lessThan">
      <formula>-0.03</formula>
    </cfRule>
  </conditionalFormatting>
  <conditionalFormatting sqref="W14:X14">
    <cfRule type="cellIs" dxfId="517" priority="93" operator="greaterThan">
      <formula>0.03</formula>
    </cfRule>
    <cfRule type="cellIs" dxfId="516" priority="94" stopIfTrue="1" operator="lessThan">
      <formula>-0.03</formula>
    </cfRule>
  </conditionalFormatting>
  <conditionalFormatting sqref="W18:X18">
    <cfRule type="cellIs" dxfId="515" priority="91" operator="greaterThan">
      <formula>0.03</formula>
    </cfRule>
    <cfRule type="cellIs" dxfId="514" priority="92" stopIfTrue="1" operator="lessThan">
      <formula>-0.03</formula>
    </cfRule>
  </conditionalFormatting>
  <conditionalFormatting sqref="W22:X22">
    <cfRule type="cellIs" dxfId="513" priority="89" operator="greaterThan">
      <formula>0.03</formula>
    </cfRule>
    <cfRule type="cellIs" dxfId="512" priority="90" stopIfTrue="1" operator="lessThan">
      <formula>-0.03</formula>
    </cfRule>
  </conditionalFormatting>
  <conditionalFormatting sqref="W26:X26">
    <cfRule type="cellIs" dxfId="511" priority="87" operator="greaterThan">
      <formula>0.03</formula>
    </cfRule>
    <cfRule type="cellIs" dxfId="510" priority="88" stopIfTrue="1" operator="lessThan">
      <formula>-0.03</formula>
    </cfRule>
  </conditionalFormatting>
  <conditionalFormatting sqref="W30:X30">
    <cfRule type="cellIs" dxfId="509" priority="85" operator="greaterThan">
      <formula>0.03</formula>
    </cfRule>
    <cfRule type="cellIs" dxfId="508" priority="86" stopIfTrue="1" operator="lessThan">
      <formula>-0.03</formula>
    </cfRule>
  </conditionalFormatting>
  <conditionalFormatting sqref="W34:X34">
    <cfRule type="cellIs" dxfId="507" priority="83" operator="greaterThan">
      <formula>0.03</formula>
    </cfRule>
    <cfRule type="cellIs" dxfId="506" priority="84" stopIfTrue="1" operator="lessThan">
      <formula>-0.03</formula>
    </cfRule>
  </conditionalFormatting>
  <conditionalFormatting sqref="W38:X38">
    <cfRule type="cellIs" dxfId="505" priority="81" operator="greaterThan">
      <formula>0.03</formula>
    </cfRule>
    <cfRule type="cellIs" dxfId="504" priority="82" stopIfTrue="1" operator="lessThan">
      <formula>-0.03</formula>
    </cfRule>
  </conditionalFormatting>
  <conditionalFormatting sqref="W42:X42">
    <cfRule type="cellIs" dxfId="503" priority="79" operator="greaterThan">
      <formula>0.03</formula>
    </cfRule>
    <cfRule type="cellIs" dxfId="502" priority="80" stopIfTrue="1" operator="lessThan">
      <formula>-0.03</formula>
    </cfRule>
  </conditionalFormatting>
  <conditionalFormatting sqref="W46:X46">
    <cfRule type="cellIs" dxfId="501" priority="77" operator="greaterThan">
      <formula>0.03</formula>
    </cfRule>
    <cfRule type="cellIs" dxfId="500" priority="78" stopIfTrue="1" operator="lessThan">
      <formula>-0.03</formula>
    </cfRule>
  </conditionalFormatting>
  <conditionalFormatting sqref="W50:X50">
    <cfRule type="cellIs" dxfId="499" priority="75" operator="greaterThan">
      <formula>0.03</formula>
    </cfRule>
    <cfRule type="cellIs" dxfId="498" priority="76" stopIfTrue="1" operator="lessThan">
      <formula>-0.03</formula>
    </cfRule>
  </conditionalFormatting>
  <conditionalFormatting sqref="W54:X54">
    <cfRule type="cellIs" dxfId="497" priority="73" operator="greaterThan">
      <formula>0.03</formula>
    </cfRule>
    <cfRule type="cellIs" dxfId="496" priority="74" stopIfTrue="1" operator="lessThan">
      <formula>-0.03</formula>
    </cfRule>
  </conditionalFormatting>
  <conditionalFormatting sqref="W58:X58">
    <cfRule type="cellIs" dxfId="495" priority="71" operator="greaterThan">
      <formula>0.03</formula>
    </cfRule>
    <cfRule type="cellIs" dxfId="494" priority="72" stopIfTrue="1" operator="lessThan">
      <formula>-0.03</formula>
    </cfRule>
  </conditionalFormatting>
  <conditionalFormatting sqref="W62:X62">
    <cfRule type="cellIs" dxfId="493" priority="69" operator="greaterThan">
      <formula>0.03</formula>
    </cfRule>
    <cfRule type="cellIs" dxfId="492" priority="70" stopIfTrue="1" operator="lessThan">
      <formula>-0.03</formula>
    </cfRule>
  </conditionalFormatting>
  <conditionalFormatting sqref="W66:X66">
    <cfRule type="cellIs" dxfId="491" priority="67" operator="greaterThan">
      <formula>0.03</formula>
    </cfRule>
    <cfRule type="cellIs" dxfId="490" priority="68" stopIfTrue="1" operator="lessThan">
      <formula>-0.03</formula>
    </cfRule>
  </conditionalFormatting>
  <conditionalFormatting sqref="W70:X70">
    <cfRule type="cellIs" dxfId="489" priority="65" operator="greaterThan">
      <formula>0.03</formula>
    </cfRule>
    <cfRule type="cellIs" dxfId="488" priority="66" stopIfTrue="1" operator="lessThan">
      <formula>-0.03</formula>
    </cfRule>
  </conditionalFormatting>
  <conditionalFormatting sqref="T83:V98">
    <cfRule type="cellIs" dxfId="487" priority="61" operator="greaterThan">
      <formula>0.03</formula>
    </cfRule>
    <cfRule type="cellIs" dxfId="486" priority="62" stopIfTrue="1" operator="lessThan">
      <formula>-0.03</formula>
    </cfRule>
  </conditionalFormatting>
  <conditionalFormatting sqref="W83">
    <cfRule type="cellIs" dxfId="485" priority="59" operator="greaterThan">
      <formula>0.03</formula>
    </cfRule>
    <cfRule type="cellIs" dxfId="484" priority="60" stopIfTrue="1" operator="lessThan">
      <formula>-0.03</formula>
    </cfRule>
  </conditionalFormatting>
  <conditionalFormatting sqref="X83">
    <cfRule type="cellIs" dxfId="483" priority="57" operator="greaterThan">
      <formula>0.03</formula>
    </cfRule>
    <cfRule type="cellIs" dxfId="482" priority="58" stopIfTrue="1" operator="lessThan">
      <formula>-0.03</formula>
    </cfRule>
  </conditionalFormatting>
  <conditionalFormatting sqref="Y83">
    <cfRule type="cellIs" dxfId="481" priority="55" operator="greaterThan">
      <formula>0.03</formula>
    </cfRule>
    <cfRule type="cellIs" dxfId="480" priority="56" stopIfTrue="1" operator="lessThan">
      <formula>-0.03</formula>
    </cfRule>
  </conditionalFormatting>
  <conditionalFormatting sqref="W87">
    <cfRule type="cellIs" dxfId="479" priority="53" operator="greaterThan">
      <formula>0.03</formula>
    </cfRule>
    <cfRule type="cellIs" dxfId="478" priority="54" stopIfTrue="1" operator="lessThan">
      <formula>-0.03</formula>
    </cfRule>
  </conditionalFormatting>
  <conditionalFormatting sqref="X87">
    <cfRule type="cellIs" dxfId="477" priority="51" operator="greaterThan">
      <formula>0.03</formula>
    </cfRule>
    <cfRule type="cellIs" dxfId="476" priority="52" stopIfTrue="1" operator="lessThan">
      <formula>-0.03</formula>
    </cfRule>
  </conditionalFormatting>
  <conditionalFormatting sqref="Y87">
    <cfRule type="cellIs" dxfId="475" priority="49" operator="greaterThan">
      <formula>0.03</formula>
    </cfRule>
    <cfRule type="cellIs" dxfId="474" priority="50" stopIfTrue="1" operator="lessThan">
      <formula>-0.03</formula>
    </cfRule>
  </conditionalFormatting>
  <conditionalFormatting sqref="W91">
    <cfRule type="cellIs" dxfId="473" priority="47" operator="greaterThan">
      <formula>0.03</formula>
    </cfRule>
    <cfRule type="cellIs" dxfId="472" priority="48" stopIfTrue="1" operator="lessThan">
      <formula>-0.03</formula>
    </cfRule>
  </conditionalFormatting>
  <conditionalFormatting sqref="X91">
    <cfRule type="cellIs" dxfId="471" priority="45" operator="greaterThan">
      <formula>0.03</formula>
    </cfRule>
    <cfRule type="cellIs" dxfId="470" priority="46" stopIfTrue="1" operator="lessThan">
      <formula>-0.03</formula>
    </cfRule>
  </conditionalFormatting>
  <conditionalFormatting sqref="Y91">
    <cfRule type="cellIs" dxfId="469" priority="43" operator="greaterThan">
      <formula>0.03</formula>
    </cfRule>
    <cfRule type="cellIs" dxfId="468" priority="44" stopIfTrue="1" operator="lessThan">
      <formula>-0.03</formula>
    </cfRule>
  </conditionalFormatting>
  <conditionalFormatting sqref="W95">
    <cfRule type="cellIs" dxfId="467" priority="41" operator="greaterThan">
      <formula>0.03</formula>
    </cfRule>
    <cfRule type="cellIs" dxfId="466" priority="42" stopIfTrue="1" operator="lessThan">
      <formula>-0.03</formula>
    </cfRule>
  </conditionalFormatting>
  <conditionalFormatting sqref="X95">
    <cfRule type="cellIs" dxfId="465" priority="39" operator="greaterThan">
      <formula>0.03</formula>
    </cfRule>
    <cfRule type="cellIs" dxfId="464" priority="40" stopIfTrue="1" operator="lessThan">
      <formula>-0.03</formula>
    </cfRule>
  </conditionalFormatting>
  <conditionalFormatting sqref="Y95">
    <cfRule type="cellIs" dxfId="463" priority="37" operator="greaterThan">
      <formula>0.03</formula>
    </cfRule>
    <cfRule type="cellIs" dxfId="462" priority="38" stopIfTrue="1" operator="lessThan">
      <formula>-0.03</formula>
    </cfRule>
  </conditionalFormatting>
  <conditionalFormatting sqref="W86:X86">
    <cfRule type="cellIs" dxfId="461" priority="35" operator="greaterThan">
      <formula>0.03</formula>
    </cfRule>
    <cfRule type="cellIs" dxfId="460" priority="36" stopIfTrue="1" operator="lessThan">
      <formula>-0.03</formula>
    </cfRule>
  </conditionalFormatting>
  <conditionalFormatting sqref="W90:X90">
    <cfRule type="cellIs" dxfId="459" priority="33" operator="greaterThan">
      <formula>0.03</formula>
    </cfRule>
    <cfRule type="cellIs" dxfId="458" priority="34" stopIfTrue="1" operator="lessThan">
      <formula>-0.03</formula>
    </cfRule>
  </conditionalFormatting>
  <conditionalFormatting sqref="W94:X94">
    <cfRule type="cellIs" dxfId="457" priority="31" operator="greaterThan">
      <formula>0.03</formula>
    </cfRule>
    <cfRule type="cellIs" dxfId="456" priority="32" stopIfTrue="1" operator="lessThan">
      <formula>-0.03</formula>
    </cfRule>
  </conditionalFormatting>
  <conditionalFormatting sqref="W98:X98">
    <cfRule type="cellIs" dxfId="455" priority="29" operator="greaterThan">
      <formula>0.03</formula>
    </cfRule>
    <cfRule type="cellIs" dxfId="454" priority="30" stopIfTrue="1" operator="lessThan">
      <formula>-0.03</formula>
    </cfRule>
  </conditionalFormatting>
  <conditionalFormatting sqref="T105:V105">
    <cfRule type="cellIs" dxfId="453" priority="27" operator="greaterThan">
      <formula>0.03</formula>
    </cfRule>
    <cfRule type="cellIs" dxfId="452" priority="28" stopIfTrue="1" operator="lessThan">
      <formula>-0.03</formula>
    </cfRule>
  </conditionalFormatting>
  <conditionalFormatting sqref="W105:Y105">
    <cfRule type="cellIs" dxfId="451" priority="25" operator="greaterThan">
      <formula>0.03</formula>
    </cfRule>
    <cfRule type="cellIs" dxfId="450" priority="26" stopIfTrue="1" operator="lessThan">
      <formula>-0.03</formula>
    </cfRule>
  </conditionalFormatting>
  <conditionalFormatting sqref="T99:V104">
    <cfRule type="cellIs" dxfId="449" priority="23" operator="greaterThan">
      <formula>0.03</formula>
    </cfRule>
    <cfRule type="cellIs" dxfId="448" priority="24" stopIfTrue="1" operator="lessThan">
      <formula>-0.03</formula>
    </cfRule>
  </conditionalFormatting>
  <conditionalFormatting sqref="W99:Y103">
    <cfRule type="cellIs" dxfId="447" priority="21" operator="greaterThan">
      <formula>0.03</formula>
    </cfRule>
    <cfRule type="cellIs" dxfId="446" priority="22" stopIfTrue="1" operator="lessThan">
      <formula>-0.03</formula>
    </cfRule>
  </conditionalFormatting>
  <conditionalFormatting sqref="W104">
    <cfRule type="cellIs" dxfId="445" priority="19" operator="greaterThan">
      <formula>0.03</formula>
    </cfRule>
    <cfRule type="cellIs" dxfId="444" priority="20" stopIfTrue="1" operator="lessThan">
      <formula>-0.03</formula>
    </cfRule>
  </conditionalFormatting>
  <conditionalFormatting sqref="X104">
    <cfRule type="cellIs" dxfId="443" priority="17" operator="greaterThan">
      <formula>0.03</formula>
    </cfRule>
    <cfRule type="cellIs" dxfId="442" priority="18" stopIfTrue="1" operator="lessThan">
      <formula>-0.03</formula>
    </cfRule>
  </conditionalFormatting>
  <conditionalFormatting sqref="Y104">
    <cfRule type="cellIs" dxfId="441" priority="15" operator="greaterThan">
      <formula>0.03</formula>
    </cfRule>
    <cfRule type="cellIs" dxfId="440" priority="16" stopIfTrue="1" operator="lessThan">
      <formula>-0.03</formula>
    </cfRule>
  </conditionalFormatting>
  <conditionalFormatting sqref="T111:V111">
    <cfRule type="cellIs" dxfId="439" priority="13" operator="greaterThan">
      <formula>0.03</formula>
    </cfRule>
    <cfRule type="cellIs" dxfId="438" priority="14" stopIfTrue="1" operator="lessThan">
      <formula>-0.03</formula>
    </cfRule>
  </conditionalFormatting>
  <conditionalFormatting sqref="W111">
    <cfRule type="cellIs" dxfId="437" priority="9" operator="greaterThan">
      <formula>0.03</formula>
    </cfRule>
    <cfRule type="cellIs" dxfId="436" priority="10" stopIfTrue="1" operator="lessThan">
      <formula>-0.03</formula>
    </cfRule>
  </conditionalFormatting>
  <conditionalFormatting sqref="X111">
    <cfRule type="cellIs" dxfId="435" priority="7" operator="greaterThan">
      <formula>0.03</formula>
    </cfRule>
    <cfRule type="cellIs" dxfId="434" priority="8" stopIfTrue="1" operator="lessThan">
      <formula>-0.03</formula>
    </cfRule>
  </conditionalFormatting>
  <conditionalFormatting sqref="Y111">
    <cfRule type="cellIs" dxfId="433" priority="5" operator="greaterThan">
      <formula>0.03</formula>
    </cfRule>
    <cfRule type="cellIs" dxfId="432" priority="6" stopIfTrue="1" operator="lessThan">
      <formula>-0.03</formula>
    </cfRule>
  </conditionalFormatting>
  <conditionalFormatting sqref="T112:V112">
    <cfRule type="cellIs" dxfId="431" priority="3" operator="greaterThan">
      <formula>0.03</formula>
    </cfRule>
    <cfRule type="cellIs" dxfId="430" priority="4" stopIfTrue="1" operator="lessThan">
      <formula>-0.03</formula>
    </cfRule>
  </conditionalFormatting>
  <conditionalFormatting sqref="W112:Y112">
    <cfRule type="cellIs" dxfId="429" priority="1" operator="greaterThan">
      <formula>0.03</formula>
    </cfRule>
    <cfRule type="cellIs" dxfId="428" priority="2" stopIfTrue="1" operator="lessThan">
      <formula>-0.03</formula>
    </cfRule>
  </conditionalFormatting>
  <pageMargins left="0.75" right="0.75" top="1" bottom="1" header="0.5" footer="0.5"/>
  <pageSetup paperSize="9" orientation="portrait" horizontalDpi="4294967292" verticalDpi="4294967292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Y114"/>
  <sheetViews>
    <sheetView topLeftCell="A47" workbookViewId="0">
      <selection activeCell="R3" sqref="R3:R18"/>
    </sheetView>
  </sheetViews>
  <sheetFormatPr defaultColWidth="10.77734375" defaultRowHeight="12" x14ac:dyDescent="0.2"/>
  <cols>
    <col min="1" max="1" width="8.33203125" style="1" customWidth="1"/>
    <col min="2" max="2" width="14.77734375" style="1" customWidth="1"/>
    <col min="3" max="3" width="7.77734375" style="1" customWidth="1"/>
    <col min="4" max="4" width="9.77734375" style="1" customWidth="1"/>
    <col min="5" max="7" width="6.77734375" style="1" customWidth="1"/>
    <col min="8" max="10" width="8.77734375" style="1" customWidth="1"/>
    <col min="11" max="11" width="2.77734375" style="1" customWidth="1"/>
    <col min="12" max="12" width="9.77734375" style="1" customWidth="1"/>
    <col min="13" max="15" width="6.77734375" style="1" customWidth="1"/>
    <col min="16" max="18" width="8.77734375" style="1" customWidth="1"/>
    <col min="19" max="19" width="2.77734375" style="1" customWidth="1"/>
    <col min="20" max="25" width="8.77734375" style="1" customWidth="1"/>
    <col min="26" max="16384" width="10.77734375" style="1"/>
  </cols>
  <sheetData>
    <row r="1" spans="1:25" ht="12.75" thickBot="1" x14ac:dyDescent="0.25">
      <c r="D1" s="162" t="s">
        <v>32</v>
      </c>
      <c r="E1" s="163"/>
      <c r="F1" s="163"/>
      <c r="G1" s="163"/>
      <c r="H1" s="163"/>
      <c r="I1" s="163"/>
      <c r="J1" s="164"/>
      <c r="L1" s="162" t="s">
        <v>33</v>
      </c>
      <c r="M1" s="163"/>
      <c r="N1" s="163"/>
      <c r="O1" s="163"/>
      <c r="P1" s="163"/>
      <c r="Q1" s="163"/>
      <c r="R1" s="164"/>
      <c r="S1" s="2"/>
      <c r="T1" s="162" t="s">
        <v>47</v>
      </c>
      <c r="U1" s="163"/>
      <c r="V1" s="164"/>
      <c r="W1" s="162" t="s">
        <v>48</v>
      </c>
      <c r="X1" s="163"/>
      <c r="Y1" s="164"/>
    </row>
    <row r="2" spans="1:25" ht="12.75" thickBot="1" x14ac:dyDescent="0.25">
      <c r="A2" s="3"/>
      <c r="B2" s="4"/>
      <c r="C2" s="5" t="s">
        <v>1</v>
      </c>
      <c r="D2" s="6" t="s">
        <v>34</v>
      </c>
      <c r="E2" s="7" t="s">
        <v>35</v>
      </c>
      <c r="F2" s="7" t="s">
        <v>36</v>
      </c>
      <c r="G2" s="7" t="s">
        <v>37</v>
      </c>
      <c r="H2" s="7" t="s">
        <v>38</v>
      </c>
      <c r="I2" s="7" t="s">
        <v>39</v>
      </c>
      <c r="J2" s="8" t="s">
        <v>40</v>
      </c>
      <c r="K2" s="2"/>
      <c r="L2" s="6" t="s">
        <v>34</v>
      </c>
      <c r="M2" s="7" t="s">
        <v>35</v>
      </c>
      <c r="N2" s="7" t="s">
        <v>36</v>
      </c>
      <c r="O2" s="7" t="s">
        <v>37</v>
      </c>
      <c r="P2" s="7" t="s">
        <v>38</v>
      </c>
      <c r="Q2" s="7" t="s">
        <v>39</v>
      </c>
      <c r="R2" s="8" t="s">
        <v>40</v>
      </c>
      <c r="S2" s="9"/>
      <c r="T2" s="6" t="s">
        <v>41</v>
      </c>
      <c r="U2" s="7" t="s">
        <v>42</v>
      </c>
      <c r="V2" s="8" t="s">
        <v>43</v>
      </c>
      <c r="W2" s="10" t="s">
        <v>41</v>
      </c>
      <c r="X2" s="11" t="s">
        <v>42</v>
      </c>
      <c r="Y2" s="12" t="s">
        <v>43</v>
      </c>
    </row>
    <row r="3" spans="1:25" x14ac:dyDescent="0.2">
      <c r="A3" s="63" t="s">
        <v>2</v>
      </c>
      <c r="B3" s="63" t="s">
        <v>3</v>
      </c>
      <c r="C3" s="63">
        <v>22</v>
      </c>
      <c r="D3" s="64"/>
      <c r="E3" s="65"/>
      <c r="F3" s="65"/>
      <c r="G3" s="65"/>
      <c r="H3" s="65"/>
      <c r="I3" s="65"/>
      <c r="J3" s="66"/>
      <c r="K3" s="67"/>
      <c r="L3" s="86"/>
      <c r="M3" s="87"/>
      <c r="N3" s="87"/>
      <c r="O3" s="87"/>
      <c r="P3" s="87"/>
      <c r="Q3" s="87"/>
      <c r="R3" s="88"/>
      <c r="S3" s="95"/>
      <c r="T3" s="96"/>
      <c r="U3" s="97"/>
      <c r="V3" s="98"/>
      <c r="W3" s="96"/>
      <c r="X3" s="97"/>
      <c r="Y3" s="98"/>
    </row>
    <row r="4" spans="1:25" x14ac:dyDescent="0.2">
      <c r="A4" s="72" t="s">
        <v>4</v>
      </c>
      <c r="B4" s="72"/>
      <c r="C4" s="72">
        <v>27</v>
      </c>
      <c r="D4" s="73"/>
      <c r="E4" s="74"/>
      <c r="F4" s="74"/>
      <c r="G4" s="74"/>
      <c r="H4" s="74"/>
      <c r="I4" s="74"/>
      <c r="J4" s="75"/>
      <c r="K4" s="67"/>
      <c r="L4" s="89"/>
      <c r="M4" s="90"/>
      <c r="N4" s="90"/>
      <c r="O4" s="90"/>
      <c r="P4" s="90"/>
      <c r="Q4" s="90"/>
      <c r="R4" s="91"/>
      <c r="S4" s="95"/>
      <c r="T4" s="99"/>
      <c r="U4" s="100"/>
      <c r="V4" s="101"/>
      <c r="W4" s="99"/>
      <c r="X4" s="100"/>
      <c r="Y4" s="101"/>
    </row>
    <row r="5" spans="1:25" x14ac:dyDescent="0.2">
      <c r="A5" s="72"/>
      <c r="B5" s="72"/>
      <c r="C5" s="72">
        <v>32</v>
      </c>
      <c r="D5" s="73"/>
      <c r="E5" s="74"/>
      <c r="F5" s="74"/>
      <c r="G5" s="74"/>
      <c r="H5" s="74"/>
      <c r="I5" s="74"/>
      <c r="J5" s="75"/>
      <c r="K5" s="67"/>
      <c r="L5" s="89"/>
      <c r="M5" s="90"/>
      <c r="N5" s="90"/>
      <c r="O5" s="90"/>
      <c r="P5" s="90"/>
      <c r="Q5" s="90"/>
      <c r="R5" s="91"/>
      <c r="S5" s="95"/>
      <c r="T5" s="99"/>
      <c r="U5" s="100"/>
      <c r="V5" s="101"/>
      <c r="W5" s="99"/>
      <c r="X5" s="100"/>
      <c r="Y5" s="101"/>
    </row>
    <row r="6" spans="1:25" ht="12.75" thickBot="1" x14ac:dyDescent="0.25">
      <c r="A6" s="72"/>
      <c r="B6" s="79"/>
      <c r="C6" s="79">
        <v>37</v>
      </c>
      <c r="D6" s="80"/>
      <c r="E6" s="81"/>
      <c r="F6" s="81"/>
      <c r="G6" s="81"/>
      <c r="H6" s="81"/>
      <c r="I6" s="81"/>
      <c r="J6" s="82"/>
      <c r="K6" s="67"/>
      <c r="L6" s="92"/>
      <c r="M6" s="93"/>
      <c r="N6" s="93"/>
      <c r="O6" s="93"/>
      <c r="P6" s="93"/>
      <c r="Q6" s="93"/>
      <c r="R6" s="94"/>
      <c r="S6" s="95"/>
      <c r="T6" s="102"/>
      <c r="U6" s="103"/>
      <c r="V6" s="104"/>
      <c r="W6" s="102"/>
      <c r="X6" s="103"/>
      <c r="Y6" s="104"/>
    </row>
    <row r="7" spans="1:25" x14ac:dyDescent="0.2">
      <c r="A7" s="72"/>
      <c r="B7" s="63" t="s">
        <v>5</v>
      </c>
      <c r="C7" s="63">
        <v>22</v>
      </c>
      <c r="D7" s="64"/>
      <c r="E7" s="65"/>
      <c r="F7" s="65"/>
      <c r="G7" s="65"/>
      <c r="H7" s="65"/>
      <c r="I7" s="65"/>
      <c r="J7" s="66"/>
      <c r="K7" s="67"/>
      <c r="L7" s="86"/>
      <c r="M7" s="87"/>
      <c r="N7" s="87"/>
      <c r="O7" s="87"/>
      <c r="P7" s="87"/>
      <c r="Q7" s="87"/>
      <c r="R7" s="88"/>
      <c r="S7" s="95"/>
      <c r="T7" s="96"/>
      <c r="U7" s="97"/>
      <c r="V7" s="97"/>
      <c r="W7" s="105"/>
      <c r="X7" s="106"/>
      <c r="Y7" s="107"/>
    </row>
    <row r="8" spans="1:25" x14ac:dyDescent="0.2">
      <c r="A8" s="72"/>
      <c r="B8" s="72"/>
      <c r="C8" s="72">
        <v>27</v>
      </c>
      <c r="D8" s="73"/>
      <c r="E8" s="74"/>
      <c r="F8" s="74"/>
      <c r="G8" s="74"/>
      <c r="H8" s="74"/>
      <c r="I8" s="74"/>
      <c r="J8" s="75"/>
      <c r="K8" s="67"/>
      <c r="L8" s="89"/>
      <c r="M8" s="90"/>
      <c r="N8" s="90"/>
      <c r="O8" s="90"/>
      <c r="P8" s="90"/>
      <c r="Q8" s="90"/>
      <c r="R8" s="91"/>
      <c r="S8" s="95"/>
      <c r="T8" s="99"/>
      <c r="U8" s="100"/>
      <c r="V8" s="100"/>
      <c r="W8" s="99"/>
      <c r="X8" s="100"/>
      <c r="Y8" s="101"/>
    </row>
    <row r="9" spans="1:25" x14ac:dyDescent="0.2">
      <c r="A9" s="72"/>
      <c r="B9" s="72"/>
      <c r="C9" s="72">
        <v>32</v>
      </c>
      <c r="D9" s="73"/>
      <c r="E9" s="74"/>
      <c r="F9" s="74"/>
      <c r="G9" s="74"/>
      <c r="H9" s="74"/>
      <c r="I9" s="74"/>
      <c r="J9" s="75"/>
      <c r="K9" s="67"/>
      <c r="L9" s="89"/>
      <c r="M9" s="90"/>
      <c r="N9" s="90"/>
      <c r="O9" s="90"/>
      <c r="P9" s="90"/>
      <c r="Q9" s="90"/>
      <c r="R9" s="91"/>
      <c r="S9" s="95"/>
      <c r="T9" s="99"/>
      <c r="U9" s="108"/>
      <c r="V9" s="100"/>
      <c r="W9" s="99"/>
      <c r="X9" s="100"/>
      <c r="Y9" s="101"/>
    </row>
    <row r="10" spans="1:25" ht="12.75" thickBot="1" x14ac:dyDescent="0.25">
      <c r="A10" s="72"/>
      <c r="B10" s="79"/>
      <c r="C10" s="79">
        <v>37</v>
      </c>
      <c r="D10" s="80"/>
      <c r="E10" s="81"/>
      <c r="F10" s="81"/>
      <c r="G10" s="81"/>
      <c r="H10" s="81"/>
      <c r="I10" s="81"/>
      <c r="J10" s="82"/>
      <c r="K10" s="67"/>
      <c r="L10" s="92"/>
      <c r="M10" s="93"/>
      <c r="N10" s="93"/>
      <c r="O10" s="93"/>
      <c r="P10" s="93"/>
      <c r="Q10" s="93"/>
      <c r="R10" s="94"/>
      <c r="S10" s="95"/>
      <c r="T10" s="102"/>
      <c r="U10" s="103"/>
      <c r="V10" s="103"/>
      <c r="W10" s="102"/>
      <c r="X10" s="103"/>
      <c r="Y10" s="104"/>
    </row>
    <row r="11" spans="1:25" x14ac:dyDescent="0.2">
      <c r="A11" s="72"/>
      <c r="B11" s="63" t="s">
        <v>0</v>
      </c>
      <c r="C11" s="63">
        <v>22</v>
      </c>
      <c r="D11" s="64"/>
      <c r="E11" s="65"/>
      <c r="F11" s="65"/>
      <c r="G11" s="65"/>
      <c r="H11" s="65"/>
      <c r="I11" s="65"/>
      <c r="J11" s="66"/>
      <c r="K11" s="67"/>
      <c r="L11" s="86"/>
      <c r="M11" s="87"/>
      <c r="N11" s="87"/>
      <c r="O11" s="87"/>
      <c r="P11" s="87"/>
      <c r="Q11" s="87"/>
      <c r="R11" s="88"/>
      <c r="S11" s="95"/>
      <c r="T11" s="96"/>
      <c r="U11" s="97"/>
      <c r="V11" s="97"/>
      <c r="W11" s="105"/>
      <c r="X11" s="106"/>
      <c r="Y11" s="107"/>
    </row>
    <row r="12" spans="1:25" x14ac:dyDescent="0.2">
      <c r="A12" s="72"/>
      <c r="B12" s="72"/>
      <c r="C12" s="72">
        <v>27</v>
      </c>
      <c r="D12" s="73"/>
      <c r="E12" s="74"/>
      <c r="F12" s="74"/>
      <c r="G12" s="74"/>
      <c r="H12" s="74"/>
      <c r="I12" s="74"/>
      <c r="J12" s="75"/>
      <c r="K12" s="67"/>
      <c r="L12" s="89"/>
      <c r="M12" s="90"/>
      <c r="N12" s="90"/>
      <c r="O12" s="90"/>
      <c r="P12" s="90"/>
      <c r="Q12" s="90"/>
      <c r="R12" s="91"/>
      <c r="S12" s="95"/>
      <c r="T12" s="99"/>
      <c r="U12" s="100"/>
      <c r="V12" s="100"/>
      <c r="W12" s="99"/>
      <c r="X12" s="100"/>
      <c r="Y12" s="101"/>
    </row>
    <row r="13" spans="1:25" x14ac:dyDescent="0.2">
      <c r="A13" s="72"/>
      <c r="B13" s="72"/>
      <c r="C13" s="72">
        <v>32</v>
      </c>
      <c r="D13" s="73"/>
      <c r="E13" s="74"/>
      <c r="F13" s="74"/>
      <c r="G13" s="74"/>
      <c r="H13" s="74"/>
      <c r="I13" s="74"/>
      <c r="J13" s="75"/>
      <c r="K13" s="67"/>
      <c r="L13" s="89"/>
      <c r="M13" s="90"/>
      <c r="N13" s="90"/>
      <c r="O13" s="90"/>
      <c r="P13" s="90"/>
      <c r="Q13" s="90"/>
      <c r="R13" s="91"/>
      <c r="S13" s="95"/>
      <c r="T13" s="99"/>
      <c r="U13" s="100"/>
      <c r="V13" s="100"/>
      <c r="W13" s="99"/>
      <c r="X13" s="100"/>
      <c r="Y13" s="101"/>
    </row>
    <row r="14" spans="1:25" ht="12.75" thickBot="1" x14ac:dyDescent="0.25">
      <c r="A14" s="72"/>
      <c r="B14" s="79"/>
      <c r="C14" s="79">
        <v>37</v>
      </c>
      <c r="D14" s="80"/>
      <c r="E14" s="81"/>
      <c r="F14" s="81"/>
      <c r="G14" s="81"/>
      <c r="H14" s="81"/>
      <c r="I14" s="81"/>
      <c r="J14" s="82"/>
      <c r="K14" s="67"/>
      <c r="L14" s="92"/>
      <c r="M14" s="93"/>
      <c r="N14" s="93"/>
      <c r="O14" s="93"/>
      <c r="P14" s="93"/>
      <c r="Q14" s="93"/>
      <c r="R14" s="94"/>
      <c r="S14" s="95"/>
      <c r="T14" s="102"/>
      <c r="U14" s="103"/>
      <c r="V14" s="103"/>
      <c r="W14" s="102"/>
      <c r="X14" s="103"/>
      <c r="Y14" s="104"/>
    </row>
    <row r="15" spans="1:25" x14ac:dyDescent="0.2">
      <c r="A15" s="72"/>
      <c r="B15" s="63" t="s">
        <v>6</v>
      </c>
      <c r="C15" s="63">
        <v>22</v>
      </c>
      <c r="D15" s="64"/>
      <c r="E15" s="65"/>
      <c r="F15" s="65"/>
      <c r="G15" s="65"/>
      <c r="H15" s="65"/>
      <c r="I15" s="65"/>
      <c r="J15" s="66"/>
      <c r="K15" s="67"/>
      <c r="L15" s="86"/>
      <c r="M15" s="87"/>
      <c r="N15" s="87"/>
      <c r="O15" s="87"/>
      <c r="P15" s="87"/>
      <c r="Q15" s="87"/>
      <c r="R15" s="88"/>
      <c r="S15" s="95"/>
      <c r="T15" s="96"/>
      <c r="U15" s="97"/>
      <c r="V15" s="97"/>
      <c r="W15" s="105"/>
      <c r="X15" s="106"/>
      <c r="Y15" s="107"/>
    </row>
    <row r="16" spans="1:25" x14ac:dyDescent="0.2">
      <c r="A16" s="72"/>
      <c r="B16" s="72"/>
      <c r="C16" s="72">
        <v>27</v>
      </c>
      <c r="D16" s="73"/>
      <c r="E16" s="74"/>
      <c r="F16" s="74"/>
      <c r="G16" s="74"/>
      <c r="H16" s="74"/>
      <c r="I16" s="74"/>
      <c r="J16" s="75"/>
      <c r="K16" s="67"/>
      <c r="L16" s="89"/>
      <c r="M16" s="90"/>
      <c r="N16" s="90"/>
      <c r="O16" s="90"/>
      <c r="P16" s="90"/>
      <c r="Q16" s="90"/>
      <c r="R16" s="91"/>
      <c r="S16" s="95"/>
      <c r="T16" s="99"/>
      <c r="U16" s="100"/>
      <c r="V16" s="100"/>
      <c r="W16" s="99"/>
      <c r="X16" s="100"/>
      <c r="Y16" s="101"/>
    </row>
    <row r="17" spans="1:25" x14ac:dyDescent="0.2">
      <c r="A17" s="72"/>
      <c r="B17" s="72"/>
      <c r="C17" s="72">
        <v>32</v>
      </c>
      <c r="D17" s="73"/>
      <c r="E17" s="74"/>
      <c r="F17" s="74"/>
      <c r="G17" s="74"/>
      <c r="H17" s="74"/>
      <c r="I17" s="74"/>
      <c r="J17" s="75"/>
      <c r="K17" s="67"/>
      <c r="L17" s="89"/>
      <c r="M17" s="90"/>
      <c r="N17" s="90"/>
      <c r="O17" s="90"/>
      <c r="P17" s="90"/>
      <c r="Q17" s="90"/>
      <c r="R17" s="91"/>
      <c r="S17" s="95"/>
      <c r="T17" s="99"/>
      <c r="U17" s="100"/>
      <c r="V17" s="100"/>
      <c r="W17" s="99"/>
      <c r="X17" s="100"/>
      <c r="Y17" s="101"/>
    </row>
    <row r="18" spans="1:25" ht="12.75" thickBot="1" x14ac:dyDescent="0.25">
      <c r="A18" s="79"/>
      <c r="B18" s="79"/>
      <c r="C18" s="79">
        <v>37</v>
      </c>
      <c r="D18" s="80"/>
      <c r="E18" s="81"/>
      <c r="F18" s="81"/>
      <c r="G18" s="81"/>
      <c r="H18" s="81"/>
      <c r="I18" s="81"/>
      <c r="J18" s="82"/>
      <c r="K18" s="67"/>
      <c r="L18" s="92"/>
      <c r="M18" s="93"/>
      <c r="N18" s="93"/>
      <c r="O18" s="93"/>
      <c r="P18" s="93"/>
      <c r="Q18" s="93"/>
      <c r="R18" s="94"/>
      <c r="S18" s="95"/>
      <c r="T18" s="102"/>
      <c r="U18" s="103"/>
      <c r="V18" s="103"/>
      <c r="W18" s="102"/>
      <c r="X18" s="103"/>
      <c r="Y18" s="104"/>
    </row>
    <row r="19" spans="1:25" x14ac:dyDescent="0.2">
      <c r="A19" s="13" t="s">
        <v>7</v>
      </c>
      <c r="B19" s="13" t="s">
        <v>8</v>
      </c>
      <c r="C19" s="13">
        <v>22</v>
      </c>
      <c r="D19" s="14"/>
      <c r="E19" s="15"/>
      <c r="F19" s="15"/>
      <c r="G19" s="15"/>
      <c r="H19" s="15"/>
      <c r="I19" s="15"/>
      <c r="J19" s="16">
        <f t="shared" ref="J19:J67" si="0">H19/3600</f>
        <v>0</v>
      </c>
      <c r="L19" s="14"/>
      <c r="M19" s="15"/>
      <c r="N19" s="15"/>
      <c r="O19" s="15"/>
      <c r="P19" s="15"/>
      <c r="Q19" s="15"/>
      <c r="R19" s="16">
        <f t="shared" ref="R19:R67" si="1">P19/3600</f>
        <v>0</v>
      </c>
      <c r="S19" s="20"/>
      <c r="T19" s="21" t="e">
        <f>bdrate($D19:$D22,E19:E22,$L19:$L22,M19:M22)</f>
        <v>#VALUE!</v>
      </c>
      <c r="U19" s="22" t="e">
        <f>bdrate($D19:$D22,F19:F22,$L19:$L22,N19:N22)</f>
        <v>#VALUE!</v>
      </c>
      <c r="V19" s="22" t="e">
        <f>bdrate($D19:$D22,G19:G22,$L19:$L22,O19:O22)</f>
        <v>#VALUE!</v>
      </c>
      <c r="W19" s="44" t="e">
        <f>bdrateOld($D19:$D22,E19:E22,$L19:$L22,M19:M22)</f>
        <v>#VALUE!</v>
      </c>
      <c r="X19" s="45" t="e">
        <f>bdrateOld($D19:$D22,F19:F22,$L19:$L22,N19:N22)</f>
        <v>#VALUE!</v>
      </c>
      <c r="Y19" s="46" t="e">
        <f>bdrateOld($D19:$D22,G19:G22,$L19:$L22,O19:O22)</f>
        <v>#VALUE!</v>
      </c>
    </row>
    <row r="20" spans="1:25" x14ac:dyDescent="0.2">
      <c r="A20" s="24" t="s">
        <v>9</v>
      </c>
      <c r="B20" s="24"/>
      <c r="C20" s="24">
        <v>27</v>
      </c>
      <c r="D20" s="25"/>
      <c r="E20" s="26"/>
      <c r="F20" s="26"/>
      <c r="G20" s="26"/>
      <c r="H20" s="26"/>
      <c r="I20" s="26"/>
      <c r="J20" s="27">
        <f t="shared" si="0"/>
        <v>0</v>
      </c>
      <c r="L20" s="25"/>
      <c r="M20" s="26"/>
      <c r="N20" s="26"/>
      <c r="O20" s="26"/>
      <c r="P20" s="26"/>
      <c r="Q20" s="26"/>
      <c r="R20" s="27">
        <f t="shared" si="1"/>
        <v>0</v>
      </c>
      <c r="S20" s="20"/>
      <c r="T20" s="31"/>
      <c r="U20" s="32"/>
      <c r="V20" s="32"/>
      <c r="W20" s="31"/>
      <c r="X20" s="32"/>
      <c r="Y20" s="33"/>
    </row>
    <row r="21" spans="1:25" x14ac:dyDescent="0.2">
      <c r="A21" s="24"/>
      <c r="B21" s="24"/>
      <c r="C21" s="24">
        <v>32</v>
      </c>
      <c r="D21" s="25"/>
      <c r="E21" s="26"/>
      <c r="F21" s="26"/>
      <c r="G21" s="26"/>
      <c r="H21" s="26"/>
      <c r="I21" s="26"/>
      <c r="J21" s="27">
        <f t="shared" si="0"/>
        <v>0</v>
      </c>
      <c r="L21" s="25"/>
      <c r="M21" s="26"/>
      <c r="N21" s="26"/>
      <c r="O21" s="26"/>
      <c r="P21" s="26"/>
      <c r="Q21" s="26"/>
      <c r="R21" s="27">
        <f t="shared" si="1"/>
        <v>0</v>
      </c>
      <c r="S21" s="20"/>
      <c r="T21" s="31"/>
      <c r="U21" s="32"/>
      <c r="V21" s="32"/>
      <c r="W21" s="31"/>
      <c r="X21" s="32"/>
      <c r="Y21" s="33"/>
    </row>
    <row r="22" spans="1:25" ht="12.75" thickBot="1" x14ac:dyDescent="0.25">
      <c r="A22" s="24"/>
      <c r="B22" s="34"/>
      <c r="C22" s="34">
        <v>37</v>
      </c>
      <c r="D22" s="35"/>
      <c r="E22" s="36"/>
      <c r="F22" s="36"/>
      <c r="G22" s="36"/>
      <c r="H22" s="36"/>
      <c r="I22" s="36"/>
      <c r="J22" s="37">
        <f t="shared" si="0"/>
        <v>0</v>
      </c>
      <c r="L22" s="35"/>
      <c r="M22" s="36"/>
      <c r="N22" s="36"/>
      <c r="O22" s="36"/>
      <c r="P22" s="36"/>
      <c r="Q22" s="36"/>
      <c r="R22" s="37">
        <f t="shared" si="1"/>
        <v>0</v>
      </c>
      <c r="S22" s="20"/>
      <c r="T22" s="41"/>
      <c r="U22" s="42"/>
      <c r="V22" s="42"/>
      <c r="W22" s="41"/>
      <c r="X22" s="42"/>
      <c r="Y22" s="43"/>
    </row>
    <row r="23" spans="1:25" x14ac:dyDescent="0.2">
      <c r="A23" s="24"/>
      <c r="B23" s="13" t="s">
        <v>10</v>
      </c>
      <c r="C23" s="13">
        <v>22</v>
      </c>
      <c r="D23" s="14"/>
      <c r="E23" s="15"/>
      <c r="F23" s="15"/>
      <c r="G23" s="15"/>
      <c r="H23" s="15"/>
      <c r="I23" s="15"/>
      <c r="J23" s="16">
        <f t="shared" si="0"/>
        <v>0</v>
      </c>
      <c r="L23" s="14"/>
      <c r="M23" s="15"/>
      <c r="N23" s="15"/>
      <c r="O23" s="15"/>
      <c r="P23" s="15"/>
      <c r="Q23" s="15"/>
      <c r="R23" s="16">
        <f t="shared" si="1"/>
        <v>0</v>
      </c>
      <c r="S23" s="20"/>
      <c r="T23" s="21" t="e">
        <f>bdrate($D23:$D26,E23:E26,$L23:$L26,M23:M26)</f>
        <v>#VALUE!</v>
      </c>
      <c r="U23" s="22" t="e">
        <f>bdrate($D23:$D26,F23:F26,$L23:$L26,N23:N26)</f>
        <v>#VALUE!</v>
      </c>
      <c r="V23" s="22" t="e">
        <f>bdrate($D23:$D26,G23:G26,$L23:$L26,O23:O26)</f>
        <v>#VALUE!</v>
      </c>
      <c r="W23" s="44" t="e">
        <f>bdrateOld($D23:$D26,E23:E26,$L23:$L26,M23:M26)</f>
        <v>#VALUE!</v>
      </c>
      <c r="X23" s="45" t="e">
        <f>bdrateOld($D23:$D26,F23:F26,$L23:$L26,N23:N26)</f>
        <v>#VALUE!</v>
      </c>
      <c r="Y23" s="46" t="e">
        <f>bdrateOld($D23:$D26,G23:G26,$L23:$L26,O23:O26)</f>
        <v>#VALUE!</v>
      </c>
    </row>
    <row r="24" spans="1:25" x14ac:dyDescent="0.2">
      <c r="A24" s="24"/>
      <c r="B24" s="24"/>
      <c r="C24" s="24">
        <v>27</v>
      </c>
      <c r="D24" s="25"/>
      <c r="E24" s="26"/>
      <c r="F24" s="26"/>
      <c r="G24" s="26"/>
      <c r="H24" s="26"/>
      <c r="I24" s="26"/>
      <c r="J24" s="27">
        <f t="shared" si="0"/>
        <v>0</v>
      </c>
      <c r="L24" s="25"/>
      <c r="M24" s="26"/>
      <c r="N24" s="26"/>
      <c r="O24" s="26"/>
      <c r="P24" s="26"/>
      <c r="Q24" s="26"/>
      <c r="R24" s="27">
        <f t="shared" si="1"/>
        <v>0</v>
      </c>
      <c r="S24" s="20"/>
      <c r="T24" s="31"/>
      <c r="U24" s="32"/>
      <c r="V24" s="32"/>
      <c r="W24" s="31"/>
      <c r="X24" s="32"/>
      <c r="Y24" s="33"/>
    </row>
    <row r="25" spans="1:25" x14ac:dyDescent="0.2">
      <c r="A25" s="24"/>
      <c r="B25" s="24"/>
      <c r="C25" s="24">
        <v>32</v>
      </c>
      <c r="D25" s="25"/>
      <c r="E25" s="26"/>
      <c r="F25" s="26"/>
      <c r="G25" s="26"/>
      <c r="H25" s="26"/>
      <c r="I25" s="26"/>
      <c r="J25" s="27">
        <f t="shared" si="0"/>
        <v>0</v>
      </c>
      <c r="L25" s="25"/>
      <c r="M25" s="26"/>
      <c r="N25" s="26"/>
      <c r="O25" s="26"/>
      <c r="P25" s="26"/>
      <c r="Q25" s="26"/>
      <c r="R25" s="27">
        <f t="shared" si="1"/>
        <v>0</v>
      </c>
      <c r="S25" s="20"/>
      <c r="T25" s="31"/>
      <c r="U25" s="32"/>
      <c r="V25" s="32"/>
      <c r="W25" s="31"/>
      <c r="X25" s="32"/>
      <c r="Y25" s="33"/>
    </row>
    <row r="26" spans="1:25" ht="12.75" thickBot="1" x14ac:dyDescent="0.25">
      <c r="A26" s="24"/>
      <c r="B26" s="34"/>
      <c r="C26" s="34">
        <v>37</v>
      </c>
      <c r="D26" s="35"/>
      <c r="E26" s="36"/>
      <c r="F26" s="36"/>
      <c r="G26" s="36"/>
      <c r="H26" s="36"/>
      <c r="I26" s="36"/>
      <c r="J26" s="37">
        <f t="shared" si="0"/>
        <v>0</v>
      </c>
      <c r="L26" s="35"/>
      <c r="M26" s="36"/>
      <c r="N26" s="36"/>
      <c r="O26" s="36"/>
      <c r="P26" s="36"/>
      <c r="Q26" s="36"/>
      <c r="R26" s="37">
        <f t="shared" si="1"/>
        <v>0</v>
      </c>
      <c r="S26" s="20"/>
      <c r="T26" s="41"/>
      <c r="U26" s="42"/>
      <c r="V26" s="42"/>
      <c r="W26" s="41"/>
      <c r="X26" s="42"/>
      <c r="Y26" s="43"/>
    </row>
    <row r="27" spans="1:25" x14ac:dyDescent="0.2">
      <c r="A27" s="24"/>
      <c r="B27" s="13" t="s">
        <v>11</v>
      </c>
      <c r="C27" s="13">
        <v>22</v>
      </c>
      <c r="D27" s="14"/>
      <c r="E27" s="15"/>
      <c r="F27" s="15"/>
      <c r="G27" s="15"/>
      <c r="H27" s="15"/>
      <c r="I27" s="15"/>
      <c r="J27" s="16">
        <f t="shared" si="0"/>
        <v>0</v>
      </c>
      <c r="L27" s="14"/>
      <c r="M27" s="15"/>
      <c r="N27" s="15"/>
      <c r="O27" s="15"/>
      <c r="P27" s="15"/>
      <c r="Q27" s="15"/>
      <c r="R27" s="16">
        <f t="shared" si="1"/>
        <v>0</v>
      </c>
      <c r="S27" s="20"/>
      <c r="T27" s="21" t="e">
        <f>bdrate($D27:$D30,E27:E30,$L27:$L30,M27:M30)</f>
        <v>#VALUE!</v>
      </c>
      <c r="U27" s="22" t="e">
        <f>bdrate($D27:$D30,F27:F30,$L27:$L30,N27:N30)</f>
        <v>#VALUE!</v>
      </c>
      <c r="V27" s="22" t="e">
        <f>bdrate($D27:$D30,G27:G30,$L27:$L30,O27:O30)</f>
        <v>#VALUE!</v>
      </c>
      <c r="W27" s="44" t="e">
        <f>bdrateOld($D27:$D30,E27:E30,$L27:$L30,M27:M30)</f>
        <v>#VALUE!</v>
      </c>
      <c r="X27" s="45" t="e">
        <f>bdrateOld($D27:$D30,F27:F30,$L27:$L30,N27:N30)</f>
        <v>#VALUE!</v>
      </c>
      <c r="Y27" s="46" t="e">
        <f>bdrateOld($D27:$D30,G27:G30,$L27:$L30,O27:O30)</f>
        <v>#VALUE!</v>
      </c>
    </row>
    <row r="28" spans="1:25" x14ac:dyDescent="0.2">
      <c r="A28" s="24"/>
      <c r="B28" s="24"/>
      <c r="C28" s="24">
        <v>27</v>
      </c>
      <c r="D28" s="25"/>
      <c r="E28" s="26"/>
      <c r="F28" s="26"/>
      <c r="G28" s="26"/>
      <c r="H28" s="26"/>
      <c r="I28" s="26"/>
      <c r="J28" s="27">
        <f t="shared" si="0"/>
        <v>0</v>
      </c>
      <c r="L28" s="25"/>
      <c r="M28" s="26"/>
      <c r="N28" s="26"/>
      <c r="O28" s="26"/>
      <c r="P28" s="26"/>
      <c r="Q28" s="26"/>
      <c r="R28" s="27">
        <f t="shared" si="1"/>
        <v>0</v>
      </c>
      <c r="S28" s="20"/>
      <c r="T28" s="31"/>
      <c r="U28" s="32"/>
      <c r="V28" s="32"/>
      <c r="W28" s="31"/>
      <c r="X28" s="32"/>
      <c r="Y28" s="33"/>
    </row>
    <row r="29" spans="1:25" x14ac:dyDescent="0.2">
      <c r="A29" s="24"/>
      <c r="B29" s="24"/>
      <c r="C29" s="24">
        <v>32</v>
      </c>
      <c r="D29" s="25"/>
      <c r="E29" s="26"/>
      <c r="F29" s="26"/>
      <c r="G29" s="26"/>
      <c r="H29" s="26"/>
      <c r="I29" s="26"/>
      <c r="J29" s="27">
        <f t="shared" si="0"/>
        <v>0</v>
      </c>
      <c r="L29" s="25"/>
      <c r="M29" s="26"/>
      <c r="N29" s="26"/>
      <c r="O29" s="26"/>
      <c r="P29" s="26"/>
      <c r="Q29" s="26"/>
      <c r="R29" s="27">
        <f t="shared" si="1"/>
        <v>0</v>
      </c>
      <c r="S29" s="20"/>
      <c r="T29" s="31"/>
      <c r="U29" s="32"/>
      <c r="V29" s="32"/>
      <c r="W29" s="31"/>
      <c r="X29" s="32"/>
      <c r="Y29" s="33"/>
    </row>
    <row r="30" spans="1:25" ht="12.75" thickBot="1" x14ac:dyDescent="0.25">
      <c r="A30" s="24"/>
      <c r="B30" s="34"/>
      <c r="C30" s="34">
        <v>37</v>
      </c>
      <c r="D30" s="35"/>
      <c r="E30" s="36"/>
      <c r="F30" s="36"/>
      <c r="G30" s="36"/>
      <c r="H30" s="36"/>
      <c r="I30" s="36"/>
      <c r="J30" s="37">
        <f t="shared" si="0"/>
        <v>0</v>
      </c>
      <c r="L30" s="35"/>
      <c r="M30" s="36"/>
      <c r="N30" s="36"/>
      <c r="O30" s="36"/>
      <c r="P30" s="36"/>
      <c r="Q30" s="36"/>
      <c r="R30" s="37">
        <f t="shared" si="1"/>
        <v>0</v>
      </c>
      <c r="S30" s="20"/>
      <c r="T30" s="41"/>
      <c r="U30" s="42"/>
      <c r="V30" s="42"/>
      <c r="W30" s="41"/>
      <c r="X30" s="42"/>
      <c r="Y30" s="43"/>
    </row>
    <row r="31" spans="1:25" x14ac:dyDescent="0.2">
      <c r="A31" s="24"/>
      <c r="B31" s="13" t="s">
        <v>12</v>
      </c>
      <c r="C31" s="13">
        <v>22</v>
      </c>
      <c r="D31" s="14"/>
      <c r="E31" s="15"/>
      <c r="F31" s="15"/>
      <c r="G31" s="15"/>
      <c r="H31" s="15"/>
      <c r="I31" s="15"/>
      <c r="J31" s="16">
        <f t="shared" si="0"/>
        <v>0</v>
      </c>
      <c r="L31" s="14"/>
      <c r="M31" s="15"/>
      <c r="N31" s="15"/>
      <c r="O31" s="15"/>
      <c r="P31" s="15"/>
      <c r="Q31" s="15"/>
      <c r="R31" s="16">
        <f t="shared" si="1"/>
        <v>0</v>
      </c>
      <c r="S31" s="20"/>
      <c r="T31" s="21" t="e">
        <f>bdrate($D31:$D34,E31:E34,$L31:$L34,M31:M34)</f>
        <v>#VALUE!</v>
      </c>
      <c r="U31" s="22" t="e">
        <f>bdrate($D31:$D34,F31:F34,$L31:$L34,N31:N34)</f>
        <v>#VALUE!</v>
      </c>
      <c r="V31" s="22" t="e">
        <f>bdrate($D31:$D34,G31:G34,$L31:$L34,O31:O34)</f>
        <v>#VALUE!</v>
      </c>
      <c r="W31" s="44" t="e">
        <f>bdrateOld($D31:$D34,E31:E34,$L31:$L34,M31:M34)</f>
        <v>#VALUE!</v>
      </c>
      <c r="X31" s="45" t="e">
        <f>bdrateOld($D31:$D34,F31:F34,$L31:$L34,N31:N34)</f>
        <v>#VALUE!</v>
      </c>
      <c r="Y31" s="46" t="e">
        <f>bdrateOld($D31:$D34,G31:G34,$L31:$L34,O31:O34)</f>
        <v>#VALUE!</v>
      </c>
    </row>
    <row r="32" spans="1:25" x14ac:dyDescent="0.2">
      <c r="A32" s="24"/>
      <c r="B32" s="24"/>
      <c r="C32" s="24">
        <v>27</v>
      </c>
      <c r="D32" s="25"/>
      <c r="E32" s="26"/>
      <c r="F32" s="26"/>
      <c r="G32" s="26"/>
      <c r="H32" s="26"/>
      <c r="I32" s="26"/>
      <c r="J32" s="27">
        <f t="shared" si="0"/>
        <v>0</v>
      </c>
      <c r="L32" s="25"/>
      <c r="M32" s="26"/>
      <c r="N32" s="26"/>
      <c r="O32" s="26"/>
      <c r="P32" s="26"/>
      <c r="Q32" s="26"/>
      <c r="R32" s="27">
        <f t="shared" si="1"/>
        <v>0</v>
      </c>
      <c r="S32" s="20"/>
      <c r="T32" s="31"/>
      <c r="U32" s="32"/>
      <c r="V32" s="32"/>
      <c r="W32" s="31"/>
      <c r="X32" s="32"/>
      <c r="Y32" s="33"/>
    </row>
    <row r="33" spans="1:25" x14ac:dyDescent="0.2">
      <c r="A33" s="24"/>
      <c r="B33" s="24"/>
      <c r="C33" s="24">
        <v>32</v>
      </c>
      <c r="D33" s="25"/>
      <c r="E33" s="26"/>
      <c r="F33" s="26"/>
      <c r="G33" s="26"/>
      <c r="H33" s="26"/>
      <c r="I33" s="26"/>
      <c r="J33" s="27">
        <f t="shared" si="0"/>
        <v>0</v>
      </c>
      <c r="L33" s="25"/>
      <c r="M33" s="26"/>
      <c r="N33" s="26"/>
      <c r="O33" s="26"/>
      <c r="P33" s="26"/>
      <c r="Q33" s="26"/>
      <c r="R33" s="27">
        <f t="shared" si="1"/>
        <v>0</v>
      </c>
      <c r="S33" s="20"/>
      <c r="T33" s="31"/>
      <c r="U33" s="32"/>
      <c r="V33" s="32"/>
      <c r="W33" s="31"/>
      <c r="X33" s="32"/>
      <c r="Y33" s="33"/>
    </row>
    <row r="34" spans="1:25" ht="12.75" thickBot="1" x14ac:dyDescent="0.25">
      <c r="A34" s="24"/>
      <c r="B34" s="34"/>
      <c r="C34" s="34">
        <v>37</v>
      </c>
      <c r="D34" s="35"/>
      <c r="E34" s="36"/>
      <c r="F34" s="36"/>
      <c r="G34" s="36"/>
      <c r="H34" s="36"/>
      <c r="I34" s="36"/>
      <c r="J34" s="37">
        <f t="shared" si="0"/>
        <v>0</v>
      </c>
      <c r="L34" s="35"/>
      <c r="M34" s="36"/>
      <c r="N34" s="36"/>
      <c r="O34" s="36"/>
      <c r="P34" s="36"/>
      <c r="Q34" s="36"/>
      <c r="R34" s="37">
        <f t="shared" si="1"/>
        <v>0</v>
      </c>
      <c r="S34" s="20"/>
      <c r="T34" s="41"/>
      <c r="U34" s="42"/>
      <c r="V34" s="42"/>
      <c r="W34" s="41"/>
      <c r="X34" s="42"/>
      <c r="Y34" s="43"/>
    </row>
    <row r="35" spans="1:25" x14ac:dyDescent="0.2">
      <c r="A35" s="24"/>
      <c r="B35" s="13" t="s">
        <v>13</v>
      </c>
      <c r="C35" s="13">
        <v>22</v>
      </c>
      <c r="D35" s="14"/>
      <c r="E35" s="15"/>
      <c r="F35" s="15"/>
      <c r="G35" s="15"/>
      <c r="H35" s="15"/>
      <c r="I35" s="15"/>
      <c r="J35" s="16">
        <f t="shared" si="0"/>
        <v>0</v>
      </c>
      <c r="L35" s="14"/>
      <c r="M35" s="15"/>
      <c r="N35" s="15"/>
      <c r="O35" s="15"/>
      <c r="P35" s="15"/>
      <c r="Q35" s="15"/>
      <c r="R35" s="16">
        <f t="shared" si="1"/>
        <v>0</v>
      </c>
      <c r="S35" s="20"/>
      <c r="T35" s="21" t="e">
        <f>bdrate($D35:$D38,E35:E38,$L35:$L38,M35:M38)</f>
        <v>#VALUE!</v>
      </c>
      <c r="U35" s="22" t="e">
        <f>bdrate($D35:$D38,F35:F38,$L35:$L38,N35:N38)</f>
        <v>#VALUE!</v>
      </c>
      <c r="V35" s="22" t="e">
        <f>bdrate($D35:$D38,G35:G38,$L35:$L38,O35:O38)</f>
        <v>#VALUE!</v>
      </c>
      <c r="W35" s="44" t="e">
        <f>bdrateOld($D35:$D38,E35:E38,$L35:$L38,M35:M38)</f>
        <v>#VALUE!</v>
      </c>
      <c r="X35" s="45" t="e">
        <f>bdrateOld($D35:$D38,F35:F38,$L35:$L38,N35:N38)</f>
        <v>#VALUE!</v>
      </c>
      <c r="Y35" s="46" t="e">
        <f>bdrateOld($D35:$D38,G35:G38,$L35:$L38,O35:O38)</f>
        <v>#VALUE!</v>
      </c>
    </row>
    <row r="36" spans="1:25" x14ac:dyDescent="0.2">
      <c r="A36" s="24"/>
      <c r="B36" s="24"/>
      <c r="C36" s="24">
        <v>27</v>
      </c>
      <c r="D36" s="25"/>
      <c r="E36" s="26"/>
      <c r="F36" s="26"/>
      <c r="G36" s="26"/>
      <c r="H36" s="26"/>
      <c r="I36" s="26"/>
      <c r="J36" s="27">
        <f t="shared" si="0"/>
        <v>0</v>
      </c>
      <c r="L36" s="25"/>
      <c r="M36" s="26"/>
      <c r="N36" s="26"/>
      <c r="O36" s="26"/>
      <c r="P36" s="26"/>
      <c r="Q36" s="26"/>
      <c r="R36" s="27">
        <f t="shared" si="1"/>
        <v>0</v>
      </c>
      <c r="S36" s="20"/>
      <c r="T36" s="31"/>
      <c r="U36" s="32"/>
      <c r="V36" s="32"/>
      <c r="W36" s="31"/>
      <c r="X36" s="32"/>
      <c r="Y36" s="33"/>
    </row>
    <row r="37" spans="1:25" x14ac:dyDescent="0.2">
      <c r="A37" s="24"/>
      <c r="B37" s="24"/>
      <c r="C37" s="24">
        <v>32</v>
      </c>
      <c r="D37" s="25"/>
      <c r="E37" s="26"/>
      <c r="F37" s="26"/>
      <c r="G37" s="26"/>
      <c r="H37" s="26"/>
      <c r="I37" s="26"/>
      <c r="J37" s="27">
        <f t="shared" si="0"/>
        <v>0</v>
      </c>
      <c r="L37" s="25"/>
      <c r="M37" s="26"/>
      <c r="N37" s="26"/>
      <c r="O37" s="26"/>
      <c r="P37" s="26"/>
      <c r="Q37" s="26"/>
      <c r="R37" s="27">
        <f t="shared" si="1"/>
        <v>0</v>
      </c>
      <c r="S37" s="20"/>
      <c r="T37" s="31"/>
      <c r="U37" s="32"/>
      <c r="V37" s="32"/>
      <c r="W37" s="31"/>
      <c r="X37" s="32"/>
      <c r="Y37" s="33"/>
    </row>
    <row r="38" spans="1:25" ht="12.75" thickBot="1" x14ac:dyDescent="0.25">
      <c r="A38" s="34"/>
      <c r="B38" s="34"/>
      <c r="C38" s="34">
        <v>37</v>
      </c>
      <c r="D38" s="35"/>
      <c r="E38" s="36"/>
      <c r="F38" s="36"/>
      <c r="G38" s="36"/>
      <c r="H38" s="36"/>
      <c r="I38" s="36"/>
      <c r="J38" s="37">
        <f t="shared" si="0"/>
        <v>0</v>
      </c>
      <c r="L38" s="35"/>
      <c r="M38" s="36"/>
      <c r="N38" s="36"/>
      <c r="O38" s="36"/>
      <c r="P38" s="36"/>
      <c r="Q38" s="36"/>
      <c r="R38" s="37">
        <f t="shared" si="1"/>
        <v>0</v>
      </c>
      <c r="S38" s="20"/>
      <c r="T38" s="41"/>
      <c r="U38" s="42"/>
      <c r="V38" s="42"/>
      <c r="W38" s="41"/>
      <c r="X38" s="42"/>
      <c r="Y38" s="43"/>
    </row>
    <row r="39" spans="1:25" x14ac:dyDescent="0.2">
      <c r="A39" s="13" t="s">
        <v>14</v>
      </c>
      <c r="B39" s="13" t="s">
        <v>15</v>
      </c>
      <c r="C39" s="13">
        <v>22</v>
      </c>
      <c r="D39" s="14"/>
      <c r="E39" s="15"/>
      <c r="F39" s="15"/>
      <c r="G39" s="15"/>
      <c r="H39" s="15"/>
      <c r="I39" s="15"/>
      <c r="J39" s="16">
        <f t="shared" si="0"/>
        <v>0</v>
      </c>
      <c r="L39" s="14"/>
      <c r="M39" s="15"/>
      <c r="N39" s="15"/>
      <c r="O39" s="15"/>
      <c r="P39" s="15"/>
      <c r="Q39" s="15"/>
      <c r="R39" s="16">
        <f t="shared" si="1"/>
        <v>0</v>
      </c>
      <c r="S39" s="20"/>
      <c r="T39" s="21" t="e">
        <f>bdrate($D39:$D42,E39:E42,$L39:$L42,M39:M42)</f>
        <v>#VALUE!</v>
      </c>
      <c r="U39" s="22" t="e">
        <f>bdrate($D39:$D42,F39:F42,$L39:$L42,N39:N42)</f>
        <v>#VALUE!</v>
      </c>
      <c r="V39" s="22" t="e">
        <f>bdrate($D39:$D42,G39:G42,$L39:$L42,O39:O42)</f>
        <v>#VALUE!</v>
      </c>
      <c r="W39" s="44" t="e">
        <f>bdrateOld($D39:$D42,E39:E42,$L39:$L42,M39:M42)</f>
        <v>#VALUE!</v>
      </c>
      <c r="X39" s="45" t="e">
        <f>bdrateOld($D39:$D42,F39:F42,$L39:$L42,N39:N42)</f>
        <v>#VALUE!</v>
      </c>
      <c r="Y39" s="46" t="e">
        <f>bdrateOld($D39:$D42,G39:G42,$L39:$L42,O39:O42)</f>
        <v>#VALUE!</v>
      </c>
    </row>
    <row r="40" spans="1:25" x14ac:dyDescent="0.2">
      <c r="A40" s="24" t="s">
        <v>16</v>
      </c>
      <c r="B40" s="24"/>
      <c r="C40" s="24">
        <v>27</v>
      </c>
      <c r="D40" s="25"/>
      <c r="E40" s="26"/>
      <c r="F40" s="26"/>
      <c r="G40" s="26"/>
      <c r="H40" s="26"/>
      <c r="I40" s="26"/>
      <c r="J40" s="27">
        <f t="shared" si="0"/>
        <v>0</v>
      </c>
      <c r="L40" s="25"/>
      <c r="M40" s="26"/>
      <c r="N40" s="26"/>
      <c r="O40" s="26"/>
      <c r="P40" s="26"/>
      <c r="Q40" s="26"/>
      <c r="R40" s="27">
        <f t="shared" si="1"/>
        <v>0</v>
      </c>
      <c r="S40" s="20"/>
      <c r="T40" s="31"/>
      <c r="U40" s="32"/>
      <c r="V40" s="32"/>
      <c r="W40" s="31"/>
      <c r="X40" s="32"/>
      <c r="Y40" s="33"/>
    </row>
    <row r="41" spans="1:25" x14ac:dyDescent="0.2">
      <c r="A41" s="24"/>
      <c r="B41" s="24"/>
      <c r="C41" s="24">
        <v>32</v>
      </c>
      <c r="D41" s="25"/>
      <c r="E41" s="26"/>
      <c r="F41" s="26"/>
      <c r="G41" s="26"/>
      <c r="H41" s="26"/>
      <c r="I41" s="26"/>
      <c r="J41" s="27">
        <f t="shared" si="0"/>
        <v>0</v>
      </c>
      <c r="L41" s="25"/>
      <c r="M41" s="26"/>
      <c r="N41" s="26"/>
      <c r="O41" s="26"/>
      <c r="P41" s="26"/>
      <c r="Q41" s="26"/>
      <c r="R41" s="27">
        <f t="shared" si="1"/>
        <v>0</v>
      </c>
      <c r="S41" s="20"/>
      <c r="T41" s="31"/>
      <c r="U41" s="32"/>
      <c r="V41" s="32"/>
      <c r="W41" s="31"/>
      <c r="X41" s="32"/>
      <c r="Y41" s="33"/>
    </row>
    <row r="42" spans="1:25" ht="12.75" thickBot="1" x14ac:dyDescent="0.25">
      <c r="A42" s="24"/>
      <c r="B42" s="34"/>
      <c r="C42" s="34">
        <v>37</v>
      </c>
      <c r="D42" s="35"/>
      <c r="E42" s="36"/>
      <c r="F42" s="36"/>
      <c r="G42" s="36"/>
      <c r="H42" s="36"/>
      <c r="I42" s="36"/>
      <c r="J42" s="37">
        <f t="shared" si="0"/>
        <v>0</v>
      </c>
      <c r="L42" s="35"/>
      <c r="M42" s="36"/>
      <c r="N42" s="36"/>
      <c r="O42" s="36"/>
      <c r="P42" s="36"/>
      <c r="Q42" s="36"/>
      <c r="R42" s="37">
        <f t="shared" si="1"/>
        <v>0</v>
      </c>
      <c r="S42" s="20"/>
      <c r="T42" s="41"/>
      <c r="U42" s="42"/>
      <c r="V42" s="42"/>
      <c r="W42" s="41"/>
      <c r="X42" s="42"/>
      <c r="Y42" s="43"/>
    </row>
    <row r="43" spans="1:25" x14ac:dyDescent="0.2">
      <c r="A43" s="24"/>
      <c r="B43" s="13" t="s">
        <v>17</v>
      </c>
      <c r="C43" s="13">
        <v>22</v>
      </c>
      <c r="D43" s="14"/>
      <c r="E43" s="15"/>
      <c r="F43" s="15"/>
      <c r="G43" s="15"/>
      <c r="H43" s="15"/>
      <c r="I43" s="15"/>
      <c r="J43" s="16">
        <f t="shared" si="0"/>
        <v>0</v>
      </c>
      <c r="L43" s="14"/>
      <c r="M43" s="15"/>
      <c r="N43" s="15"/>
      <c r="O43" s="15"/>
      <c r="P43" s="15"/>
      <c r="Q43" s="15"/>
      <c r="R43" s="16">
        <f t="shared" si="1"/>
        <v>0</v>
      </c>
      <c r="S43" s="20"/>
      <c r="T43" s="21" t="e">
        <f>bdrate($D43:$D46,E43:E46,$L43:$L46,M43:M46)</f>
        <v>#VALUE!</v>
      </c>
      <c r="U43" s="22" t="e">
        <f>bdrate($D43:$D46,F43:F46,$L43:$L46,N43:N46)</f>
        <v>#VALUE!</v>
      </c>
      <c r="V43" s="22" t="e">
        <f>bdrate($D43:$D46,G43:G46,$L43:$L46,O43:O46)</f>
        <v>#VALUE!</v>
      </c>
      <c r="W43" s="44" t="e">
        <f>bdrateOld($D43:$D46,E43:E46,$L43:$L46,M43:M46)</f>
        <v>#VALUE!</v>
      </c>
      <c r="X43" s="45" t="e">
        <f>bdrateOld($D43:$D46,F43:F46,$L43:$L46,N43:N46)</f>
        <v>#VALUE!</v>
      </c>
      <c r="Y43" s="46" t="e">
        <f>bdrateOld($D43:$D46,G43:G46,$L43:$L46,O43:O46)</f>
        <v>#VALUE!</v>
      </c>
    </row>
    <row r="44" spans="1:25" x14ac:dyDescent="0.2">
      <c r="A44" s="24"/>
      <c r="B44" s="24"/>
      <c r="C44" s="24">
        <v>27</v>
      </c>
      <c r="D44" s="25"/>
      <c r="E44" s="26"/>
      <c r="F44" s="26"/>
      <c r="G44" s="26"/>
      <c r="H44" s="26"/>
      <c r="I44" s="26"/>
      <c r="J44" s="27">
        <f t="shared" si="0"/>
        <v>0</v>
      </c>
      <c r="L44" s="25"/>
      <c r="M44" s="26"/>
      <c r="N44" s="26"/>
      <c r="O44" s="26"/>
      <c r="P44" s="26"/>
      <c r="Q44" s="26"/>
      <c r="R44" s="27">
        <f t="shared" si="1"/>
        <v>0</v>
      </c>
      <c r="S44" s="20"/>
      <c r="T44" s="31"/>
      <c r="U44" s="32"/>
      <c r="V44" s="32"/>
      <c r="W44" s="31"/>
      <c r="X44" s="32"/>
      <c r="Y44" s="33"/>
    </row>
    <row r="45" spans="1:25" x14ac:dyDescent="0.2">
      <c r="A45" s="24"/>
      <c r="B45" s="24"/>
      <c r="C45" s="24">
        <v>32</v>
      </c>
      <c r="D45" s="25"/>
      <c r="E45" s="26"/>
      <c r="F45" s="26"/>
      <c r="G45" s="26"/>
      <c r="H45" s="26"/>
      <c r="I45" s="26"/>
      <c r="J45" s="27">
        <f t="shared" si="0"/>
        <v>0</v>
      </c>
      <c r="L45" s="25"/>
      <c r="M45" s="26"/>
      <c r="N45" s="26"/>
      <c r="O45" s="26"/>
      <c r="P45" s="26"/>
      <c r="Q45" s="26"/>
      <c r="R45" s="27">
        <f t="shared" si="1"/>
        <v>0</v>
      </c>
      <c r="S45" s="20"/>
      <c r="T45" s="31"/>
      <c r="U45" s="32"/>
      <c r="V45" s="32"/>
      <c r="W45" s="31"/>
      <c r="X45" s="32"/>
      <c r="Y45" s="33"/>
    </row>
    <row r="46" spans="1:25" ht="12.75" thickBot="1" x14ac:dyDescent="0.25">
      <c r="A46" s="24"/>
      <c r="B46" s="34"/>
      <c r="C46" s="34">
        <v>37</v>
      </c>
      <c r="D46" s="35"/>
      <c r="E46" s="36"/>
      <c r="F46" s="36"/>
      <c r="G46" s="36"/>
      <c r="H46" s="36"/>
      <c r="I46" s="36"/>
      <c r="J46" s="37">
        <f t="shared" si="0"/>
        <v>0</v>
      </c>
      <c r="L46" s="35"/>
      <c r="M46" s="36"/>
      <c r="N46" s="36"/>
      <c r="O46" s="36"/>
      <c r="P46" s="36"/>
      <c r="Q46" s="36"/>
      <c r="R46" s="37">
        <f t="shared" si="1"/>
        <v>0</v>
      </c>
      <c r="S46" s="20"/>
      <c r="T46" s="41"/>
      <c r="U46" s="42"/>
      <c r="V46" s="42"/>
      <c r="W46" s="41"/>
      <c r="X46" s="42"/>
      <c r="Y46" s="43"/>
    </row>
    <row r="47" spans="1:25" x14ac:dyDescent="0.2">
      <c r="A47" s="24"/>
      <c r="B47" s="13" t="s">
        <v>18</v>
      </c>
      <c r="C47" s="13">
        <v>22</v>
      </c>
      <c r="D47" s="14"/>
      <c r="E47" s="15"/>
      <c r="F47" s="15"/>
      <c r="G47" s="15"/>
      <c r="H47" s="15"/>
      <c r="I47" s="15"/>
      <c r="J47" s="16">
        <f t="shared" si="0"/>
        <v>0</v>
      </c>
      <c r="L47" s="14"/>
      <c r="M47" s="15"/>
      <c r="N47" s="15"/>
      <c r="O47" s="15"/>
      <c r="P47" s="15"/>
      <c r="Q47" s="15"/>
      <c r="R47" s="16">
        <f t="shared" si="1"/>
        <v>0</v>
      </c>
      <c r="S47" s="20"/>
      <c r="T47" s="21" t="e">
        <f>bdrate($D47:$D50,E47:E50,$L47:$L50,M47:M50)</f>
        <v>#VALUE!</v>
      </c>
      <c r="U47" s="22" t="e">
        <f>bdrate($D47:$D50,F47:F50,$L47:$L50,N47:N50)</f>
        <v>#VALUE!</v>
      </c>
      <c r="V47" s="22" t="e">
        <f>bdrate($D47:$D50,G47:G50,$L47:$L50,O47:O50)</f>
        <v>#VALUE!</v>
      </c>
      <c r="W47" s="44" t="e">
        <f>bdrateOld($D47:$D50,E47:E50,$L47:$L50,M47:M50)</f>
        <v>#VALUE!</v>
      </c>
      <c r="X47" s="45" t="e">
        <f>bdrateOld($D47:$D50,F47:F50,$L47:$L50,N47:N50)</f>
        <v>#VALUE!</v>
      </c>
      <c r="Y47" s="46" t="e">
        <f>bdrateOld($D47:$D50,G47:G50,$L47:$L50,O47:O50)</f>
        <v>#VALUE!</v>
      </c>
    </row>
    <row r="48" spans="1:25" x14ac:dyDescent="0.2">
      <c r="A48" s="24"/>
      <c r="B48" s="24"/>
      <c r="C48" s="24">
        <v>27</v>
      </c>
      <c r="D48" s="25"/>
      <c r="E48" s="26"/>
      <c r="F48" s="26"/>
      <c r="G48" s="26"/>
      <c r="H48" s="26"/>
      <c r="I48" s="26"/>
      <c r="J48" s="27">
        <f t="shared" si="0"/>
        <v>0</v>
      </c>
      <c r="L48" s="25"/>
      <c r="M48" s="26"/>
      <c r="N48" s="26"/>
      <c r="O48" s="26"/>
      <c r="P48" s="26"/>
      <c r="Q48" s="26"/>
      <c r="R48" s="27">
        <f t="shared" si="1"/>
        <v>0</v>
      </c>
      <c r="S48" s="20"/>
      <c r="T48" s="31"/>
      <c r="U48" s="32"/>
      <c r="V48" s="32"/>
      <c r="W48" s="31"/>
      <c r="X48" s="32"/>
      <c r="Y48" s="33"/>
    </row>
    <row r="49" spans="1:25" x14ac:dyDescent="0.2">
      <c r="A49" s="24"/>
      <c r="B49" s="24"/>
      <c r="C49" s="24">
        <v>32</v>
      </c>
      <c r="D49" s="25"/>
      <c r="E49" s="26"/>
      <c r="F49" s="26"/>
      <c r="G49" s="26"/>
      <c r="H49" s="26"/>
      <c r="I49" s="26"/>
      <c r="J49" s="27">
        <f t="shared" si="0"/>
        <v>0</v>
      </c>
      <c r="L49" s="25"/>
      <c r="M49" s="26"/>
      <c r="N49" s="26"/>
      <c r="O49" s="26"/>
      <c r="P49" s="26"/>
      <c r="Q49" s="26"/>
      <c r="R49" s="27">
        <f t="shared" si="1"/>
        <v>0</v>
      </c>
      <c r="S49" s="20"/>
      <c r="T49" s="31"/>
      <c r="U49" s="32"/>
      <c r="V49" s="32"/>
      <c r="W49" s="31"/>
      <c r="X49" s="32"/>
      <c r="Y49" s="33"/>
    </row>
    <row r="50" spans="1:25" ht="12.75" thickBot="1" x14ac:dyDescent="0.25">
      <c r="A50" s="24"/>
      <c r="B50" s="34"/>
      <c r="C50" s="34">
        <v>37</v>
      </c>
      <c r="D50" s="35"/>
      <c r="E50" s="36"/>
      <c r="F50" s="36"/>
      <c r="G50" s="36"/>
      <c r="H50" s="36"/>
      <c r="I50" s="36"/>
      <c r="J50" s="37">
        <f t="shared" si="0"/>
        <v>0</v>
      </c>
      <c r="L50" s="35"/>
      <c r="M50" s="36"/>
      <c r="N50" s="36"/>
      <c r="O50" s="36"/>
      <c r="P50" s="36"/>
      <c r="Q50" s="36"/>
      <c r="R50" s="37">
        <f t="shared" si="1"/>
        <v>0</v>
      </c>
      <c r="S50" s="20"/>
      <c r="T50" s="41"/>
      <c r="U50" s="42"/>
      <c r="V50" s="42"/>
      <c r="W50" s="41"/>
      <c r="X50" s="42"/>
      <c r="Y50" s="43"/>
    </row>
    <row r="51" spans="1:25" x14ac:dyDescent="0.2">
      <c r="A51" s="24"/>
      <c r="B51" s="13" t="s">
        <v>19</v>
      </c>
      <c r="C51" s="13">
        <v>22</v>
      </c>
      <c r="D51" s="14"/>
      <c r="E51" s="15"/>
      <c r="F51" s="15"/>
      <c r="G51" s="15"/>
      <c r="H51" s="15"/>
      <c r="I51" s="15"/>
      <c r="J51" s="16">
        <f t="shared" si="0"/>
        <v>0</v>
      </c>
      <c r="L51" s="14"/>
      <c r="M51" s="15"/>
      <c r="N51" s="15"/>
      <c r="O51" s="15"/>
      <c r="P51" s="15"/>
      <c r="Q51" s="15"/>
      <c r="R51" s="16">
        <f t="shared" si="1"/>
        <v>0</v>
      </c>
      <c r="S51" s="20"/>
      <c r="T51" s="21" t="e">
        <f>bdrate($D51:$D54,E51:E54,$L51:$L54,M51:M54)</f>
        <v>#VALUE!</v>
      </c>
      <c r="U51" s="22" t="e">
        <f>bdrate($D51:$D54,F51:F54,$L51:$L54,N51:N54)</f>
        <v>#VALUE!</v>
      </c>
      <c r="V51" s="22" t="e">
        <f>bdrate($D51:$D54,G51:G54,$L51:$L54,O51:O54)</f>
        <v>#VALUE!</v>
      </c>
      <c r="W51" s="44" t="e">
        <f>bdrateOld($D51:$D54,E51:E54,$L51:$L54,M51:M54)</f>
        <v>#VALUE!</v>
      </c>
      <c r="X51" s="45" t="e">
        <f>bdrateOld($D51:$D54,F51:F54,$L51:$L54,N51:N54)</f>
        <v>#VALUE!</v>
      </c>
      <c r="Y51" s="46" t="e">
        <f>bdrateOld($D51:$D54,G51:G54,$L51:$L54,O51:O54)</f>
        <v>#VALUE!</v>
      </c>
    </row>
    <row r="52" spans="1:25" x14ac:dyDescent="0.2">
      <c r="A52" s="24"/>
      <c r="B52" s="24"/>
      <c r="C52" s="24">
        <v>27</v>
      </c>
      <c r="D52" s="25"/>
      <c r="E52" s="26"/>
      <c r="F52" s="26"/>
      <c r="G52" s="26"/>
      <c r="H52" s="26"/>
      <c r="I52" s="26"/>
      <c r="J52" s="27">
        <f t="shared" si="0"/>
        <v>0</v>
      </c>
      <c r="L52" s="25"/>
      <c r="M52" s="26"/>
      <c r="N52" s="26"/>
      <c r="O52" s="26"/>
      <c r="P52" s="26"/>
      <c r="Q52" s="26"/>
      <c r="R52" s="27">
        <f t="shared" si="1"/>
        <v>0</v>
      </c>
      <c r="S52" s="20"/>
      <c r="T52" s="31"/>
      <c r="U52" s="32"/>
      <c r="V52" s="32"/>
      <c r="W52" s="31"/>
      <c r="X52" s="32"/>
      <c r="Y52" s="33"/>
    </row>
    <row r="53" spans="1:25" x14ac:dyDescent="0.2">
      <c r="A53" s="24"/>
      <c r="B53" s="24"/>
      <c r="C53" s="24">
        <v>32</v>
      </c>
      <c r="D53" s="25"/>
      <c r="E53" s="26"/>
      <c r="F53" s="26"/>
      <c r="G53" s="26"/>
      <c r="H53" s="26"/>
      <c r="I53" s="26"/>
      <c r="J53" s="27">
        <f t="shared" si="0"/>
        <v>0</v>
      </c>
      <c r="L53" s="25"/>
      <c r="M53" s="26"/>
      <c r="N53" s="26"/>
      <c r="O53" s="26"/>
      <c r="P53" s="26"/>
      <c r="Q53" s="26"/>
      <c r="R53" s="27">
        <f t="shared" si="1"/>
        <v>0</v>
      </c>
      <c r="S53" s="20"/>
      <c r="T53" s="31"/>
      <c r="U53" s="32"/>
      <c r="V53" s="32"/>
      <c r="W53" s="31"/>
      <c r="X53" s="32"/>
      <c r="Y53" s="33"/>
    </row>
    <row r="54" spans="1:25" ht="12.75" thickBot="1" x14ac:dyDescent="0.25">
      <c r="A54" s="34"/>
      <c r="B54" s="34"/>
      <c r="C54" s="34">
        <v>37</v>
      </c>
      <c r="D54" s="35"/>
      <c r="E54" s="36"/>
      <c r="F54" s="36"/>
      <c r="G54" s="36"/>
      <c r="H54" s="36"/>
      <c r="I54" s="36"/>
      <c r="J54" s="37">
        <f t="shared" si="0"/>
        <v>0</v>
      </c>
      <c r="L54" s="35"/>
      <c r="M54" s="36"/>
      <c r="N54" s="36"/>
      <c r="O54" s="36"/>
      <c r="P54" s="36"/>
      <c r="Q54" s="36"/>
      <c r="R54" s="37">
        <f t="shared" si="1"/>
        <v>0</v>
      </c>
      <c r="S54" s="20"/>
      <c r="T54" s="41"/>
      <c r="U54" s="42"/>
      <c r="V54" s="42"/>
      <c r="W54" s="41"/>
      <c r="X54" s="42"/>
      <c r="Y54" s="43"/>
    </row>
    <row r="55" spans="1:25" x14ac:dyDescent="0.2">
      <c r="A55" s="13" t="s">
        <v>20</v>
      </c>
      <c r="B55" s="13" t="s">
        <v>21</v>
      </c>
      <c r="C55" s="13">
        <v>22</v>
      </c>
      <c r="D55" s="14"/>
      <c r="E55" s="15"/>
      <c r="F55" s="15"/>
      <c r="G55" s="15"/>
      <c r="H55" s="15"/>
      <c r="I55" s="15"/>
      <c r="J55" s="16">
        <f t="shared" si="0"/>
        <v>0</v>
      </c>
      <c r="L55" s="14"/>
      <c r="M55" s="15"/>
      <c r="N55" s="15"/>
      <c r="O55" s="15"/>
      <c r="P55" s="15"/>
      <c r="Q55" s="15"/>
      <c r="R55" s="16">
        <f t="shared" si="1"/>
        <v>0</v>
      </c>
      <c r="S55" s="20"/>
      <c r="T55" s="21" t="e">
        <f>bdrate($D55:$D58,E55:E58,$L55:$L58,M55:M58)</f>
        <v>#VALUE!</v>
      </c>
      <c r="U55" s="22" t="e">
        <f>bdrate($D55:$D58,F55:F58,$L55:$L58,N55:N58)</f>
        <v>#VALUE!</v>
      </c>
      <c r="V55" s="22" t="e">
        <f>bdrate($D55:$D58,G55:G58,$L55:$L58,O55:O58)</f>
        <v>#VALUE!</v>
      </c>
      <c r="W55" s="44" t="e">
        <f>bdrateOld($D55:$D58,E55:E58,$L55:$L58,M55:M58)</f>
        <v>#VALUE!</v>
      </c>
      <c r="X55" s="45" t="e">
        <f>bdrateOld($D55:$D58,F55:F58,$L55:$L58,N55:N58)</f>
        <v>#VALUE!</v>
      </c>
      <c r="Y55" s="46" t="e">
        <f>bdrateOld($D55:$D58,G55:G58,$L55:$L58,O55:O58)</f>
        <v>#VALUE!</v>
      </c>
    </row>
    <row r="56" spans="1:25" x14ac:dyDescent="0.2">
      <c r="A56" s="24" t="s">
        <v>22</v>
      </c>
      <c r="B56" s="24"/>
      <c r="C56" s="24">
        <v>27</v>
      </c>
      <c r="D56" s="25"/>
      <c r="E56" s="26"/>
      <c r="F56" s="26"/>
      <c r="G56" s="26"/>
      <c r="H56" s="26"/>
      <c r="I56" s="26"/>
      <c r="J56" s="27">
        <f t="shared" si="0"/>
        <v>0</v>
      </c>
      <c r="L56" s="25"/>
      <c r="M56" s="26"/>
      <c r="N56" s="26"/>
      <c r="O56" s="26"/>
      <c r="P56" s="26"/>
      <c r="Q56" s="26"/>
      <c r="R56" s="27">
        <f t="shared" si="1"/>
        <v>0</v>
      </c>
      <c r="S56" s="20"/>
      <c r="T56" s="31"/>
      <c r="U56" s="32"/>
      <c r="V56" s="32"/>
      <c r="W56" s="31"/>
      <c r="X56" s="32"/>
      <c r="Y56" s="33"/>
    </row>
    <row r="57" spans="1:25" x14ac:dyDescent="0.2">
      <c r="A57" s="24"/>
      <c r="B57" s="24"/>
      <c r="C57" s="24">
        <v>32</v>
      </c>
      <c r="D57" s="25"/>
      <c r="E57" s="26"/>
      <c r="F57" s="26"/>
      <c r="G57" s="26"/>
      <c r="H57" s="26"/>
      <c r="I57" s="26"/>
      <c r="J57" s="27">
        <f t="shared" si="0"/>
        <v>0</v>
      </c>
      <c r="L57" s="25"/>
      <c r="M57" s="26"/>
      <c r="N57" s="26"/>
      <c r="O57" s="26"/>
      <c r="P57" s="26"/>
      <c r="Q57" s="26"/>
      <c r="R57" s="27">
        <f t="shared" si="1"/>
        <v>0</v>
      </c>
      <c r="S57" s="20"/>
      <c r="T57" s="31"/>
      <c r="U57" s="32"/>
      <c r="V57" s="32"/>
      <c r="W57" s="31"/>
      <c r="X57" s="32"/>
      <c r="Y57" s="33"/>
    </row>
    <row r="58" spans="1:25" ht="12.75" thickBot="1" x14ac:dyDescent="0.25">
      <c r="A58" s="24"/>
      <c r="B58" s="34"/>
      <c r="C58" s="34">
        <v>37</v>
      </c>
      <c r="D58" s="35"/>
      <c r="E58" s="36"/>
      <c r="F58" s="36"/>
      <c r="G58" s="36"/>
      <c r="H58" s="36"/>
      <c r="I58" s="36"/>
      <c r="J58" s="37">
        <f t="shared" si="0"/>
        <v>0</v>
      </c>
      <c r="L58" s="35"/>
      <c r="M58" s="36"/>
      <c r="N58" s="36"/>
      <c r="O58" s="36"/>
      <c r="P58" s="36"/>
      <c r="Q58" s="36"/>
      <c r="R58" s="37">
        <f t="shared" si="1"/>
        <v>0</v>
      </c>
      <c r="S58" s="20"/>
      <c r="T58" s="41"/>
      <c r="U58" s="42"/>
      <c r="V58" s="42"/>
      <c r="W58" s="41"/>
      <c r="X58" s="42"/>
      <c r="Y58" s="43"/>
    </row>
    <row r="59" spans="1:25" x14ac:dyDescent="0.2">
      <c r="A59" s="24"/>
      <c r="B59" s="13" t="s">
        <v>23</v>
      </c>
      <c r="C59" s="13">
        <v>22</v>
      </c>
      <c r="D59" s="14"/>
      <c r="E59" s="15"/>
      <c r="F59" s="15"/>
      <c r="G59" s="15"/>
      <c r="H59" s="15"/>
      <c r="I59" s="15"/>
      <c r="J59" s="16">
        <f t="shared" si="0"/>
        <v>0</v>
      </c>
      <c r="L59" s="14"/>
      <c r="M59" s="15"/>
      <c r="N59" s="15"/>
      <c r="O59" s="15"/>
      <c r="P59" s="15"/>
      <c r="Q59" s="15"/>
      <c r="R59" s="16">
        <f t="shared" si="1"/>
        <v>0</v>
      </c>
      <c r="S59" s="20"/>
      <c r="T59" s="21" t="e">
        <f>bdrate($D59:$D62,E59:E62,$L59:$L62,M59:M62)</f>
        <v>#VALUE!</v>
      </c>
      <c r="U59" s="22" t="e">
        <f>bdrate($D59:$D62,F59:F62,$L59:$L62,N59:N62)</f>
        <v>#VALUE!</v>
      </c>
      <c r="V59" s="22" t="e">
        <f>bdrate($D59:$D62,G59:G62,$L59:$L62,O59:O62)</f>
        <v>#VALUE!</v>
      </c>
      <c r="W59" s="44" t="e">
        <f>bdrateOld($D59:$D62,E59:E62,$L59:$L62,M59:M62)</f>
        <v>#VALUE!</v>
      </c>
      <c r="X59" s="45" t="e">
        <f>bdrateOld($D59:$D62,F59:F62,$L59:$L62,N59:N62)</f>
        <v>#VALUE!</v>
      </c>
      <c r="Y59" s="46" t="e">
        <f>bdrateOld($D59:$D62,G59:G62,$L59:$L62,O59:O62)</f>
        <v>#VALUE!</v>
      </c>
    </row>
    <row r="60" spans="1:25" x14ac:dyDescent="0.2">
      <c r="A60" s="24"/>
      <c r="B60" s="24"/>
      <c r="C60" s="24">
        <v>27</v>
      </c>
      <c r="D60" s="25"/>
      <c r="E60" s="26"/>
      <c r="F60" s="26"/>
      <c r="G60" s="26"/>
      <c r="H60" s="26"/>
      <c r="I60" s="26"/>
      <c r="J60" s="27">
        <f t="shared" si="0"/>
        <v>0</v>
      </c>
      <c r="L60" s="25"/>
      <c r="M60" s="26"/>
      <c r="N60" s="26"/>
      <c r="O60" s="26"/>
      <c r="P60" s="26"/>
      <c r="Q60" s="26"/>
      <c r="R60" s="27">
        <f t="shared" si="1"/>
        <v>0</v>
      </c>
      <c r="S60" s="20"/>
      <c r="T60" s="31"/>
      <c r="U60" s="32"/>
      <c r="V60" s="32"/>
      <c r="W60" s="31"/>
      <c r="X60" s="32"/>
      <c r="Y60" s="33"/>
    </row>
    <row r="61" spans="1:25" x14ac:dyDescent="0.2">
      <c r="A61" s="24"/>
      <c r="B61" s="24"/>
      <c r="C61" s="24">
        <v>32</v>
      </c>
      <c r="D61" s="25"/>
      <c r="E61" s="26"/>
      <c r="F61" s="26"/>
      <c r="G61" s="26"/>
      <c r="H61" s="26"/>
      <c r="I61" s="26"/>
      <c r="J61" s="27">
        <f t="shared" si="0"/>
        <v>0</v>
      </c>
      <c r="L61" s="25"/>
      <c r="M61" s="26"/>
      <c r="N61" s="26"/>
      <c r="O61" s="26"/>
      <c r="P61" s="26"/>
      <c r="Q61" s="26"/>
      <c r="R61" s="27">
        <f t="shared" si="1"/>
        <v>0</v>
      </c>
      <c r="S61" s="20"/>
      <c r="T61" s="31"/>
      <c r="U61" s="32"/>
      <c r="V61" s="32"/>
      <c r="W61" s="31"/>
      <c r="X61" s="32"/>
      <c r="Y61" s="33"/>
    </row>
    <row r="62" spans="1:25" ht="12.75" thickBot="1" x14ac:dyDescent="0.25">
      <c r="A62" s="24"/>
      <c r="B62" s="34"/>
      <c r="C62" s="34">
        <v>37</v>
      </c>
      <c r="D62" s="35"/>
      <c r="E62" s="36"/>
      <c r="F62" s="36"/>
      <c r="G62" s="36"/>
      <c r="H62" s="36"/>
      <c r="I62" s="36"/>
      <c r="J62" s="37">
        <f t="shared" si="0"/>
        <v>0</v>
      </c>
      <c r="L62" s="35"/>
      <c r="M62" s="36"/>
      <c r="N62" s="36"/>
      <c r="O62" s="36"/>
      <c r="P62" s="36"/>
      <c r="Q62" s="36"/>
      <c r="R62" s="37">
        <f t="shared" si="1"/>
        <v>0</v>
      </c>
      <c r="S62" s="20"/>
      <c r="T62" s="41"/>
      <c r="U62" s="42"/>
      <c r="V62" s="42"/>
      <c r="W62" s="41"/>
      <c r="X62" s="42"/>
      <c r="Y62" s="43"/>
    </row>
    <row r="63" spans="1:25" x14ac:dyDescent="0.2">
      <c r="A63" s="24"/>
      <c r="B63" s="13" t="s">
        <v>24</v>
      </c>
      <c r="C63" s="13">
        <v>22</v>
      </c>
      <c r="D63" s="14"/>
      <c r="E63" s="15"/>
      <c r="F63" s="15"/>
      <c r="G63" s="15"/>
      <c r="H63" s="15"/>
      <c r="I63" s="15"/>
      <c r="J63" s="16">
        <f t="shared" si="0"/>
        <v>0</v>
      </c>
      <c r="L63" s="14"/>
      <c r="M63" s="15"/>
      <c r="N63" s="15"/>
      <c r="O63" s="15"/>
      <c r="P63" s="15"/>
      <c r="Q63" s="15"/>
      <c r="R63" s="16">
        <f t="shared" si="1"/>
        <v>0</v>
      </c>
      <c r="S63" s="20"/>
      <c r="T63" s="21" t="e">
        <f>bdrate($D63:$D66,E63:E66,$L63:$L66,M63:M66)</f>
        <v>#VALUE!</v>
      </c>
      <c r="U63" s="22" t="e">
        <f>bdrate($D63:$D66,F63:F66,$L63:$L66,N63:N66)</f>
        <v>#VALUE!</v>
      </c>
      <c r="V63" s="22" t="e">
        <f>bdrate($D63:$D66,G63:G66,$L63:$L66,O63:O66)</f>
        <v>#VALUE!</v>
      </c>
      <c r="W63" s="44" t="e">
        <f>bdrateOld($D63:$D66,E63:E66,$L63:$L66,M63:M66)</f>
        <v>#VALUE!</v>
      </c>
      <c r="X63" s="45" t="e">
        <f>bdrateOld($D63:$D66,F63:F66,$L63:$L66,N63:N66)</f>
        <v>#VALUE!</v>
      </c>
      <c r="Y63" s="46" t="e">
        <f>bdrateOld($D63:$D66,G63:G66,$L63:$L66,O63:O66)</f>
        <v>#VALUE!</v>
      </c>
    </row>
    <row r="64" spans="1:25" x14ac:dyDescent="0.2">
      <c r="A64" s="24"/>
      <c r="B64" s="24"/>
      <c r="C64" s="24">
        <v>27</v>
      </c>
      <c r="D64" s="25"/>
      <c r="E64" s="26"/>
      <c r="F64" s="26"/>
      <c r="G64" s="26"/>
      <c r="H64" s="26"/>
      <c r="I64" s="26"/>
      <c r="J64" s="27">
        <f t="shared" si="0"/>
        <v>0</v>
      </c>
      <c r="L64" s="25"/>
      <c r="M64" s="26"/>
      <c r="N64" s="26"/>
      <c r="O64" s="26"/>
      <c r="P64" s="26"/>
      <c r="Q64" s="26"/>
      <c r="R64" s="27">
        <f t="shared" si="1"/>
        <v>0</v>
      </c>
      <c r="S64" s="20"/>
      <c r="T64" s="31"/>
      <c r="U64" s="32"/>
      <c r="V64" s="32"/>
      <c r="W64" s="31"/>
      <c r="X64" s="32"/>
      <c r="Y64" s="33"/>
    </row>
    <row r="65" spans="1:25" x14ac:dyDescent="0.2">
      <c r="A65" s="24"/>
      <c r="B65" s="24"/>
      <c r="C65" s="24">
        <v>32</v>
      </c>
      <c r="D65" s="25"/>
      <c r="E65" s="26"/>
      <c r="F65" s="26"/>
      <c r="G65" s="26"/>
      <c r="H65" s="26"/>
      <c r="I65" s="26"/>
      <c r="J65" s="27">
        <f t="shared" si="0"/>
        <v>0</v>
      </c>
      <c r="L65" s="25"/>
      <c r="M65" s="26"/>
      <c r="N65" s="26"/>
      <c r="O65" s="26"/>
      <c r="P65" s="26"/>
      <c r="Q65" s="26"/>
      <c r="R65" s="27">
        <f t="shared" si="1"/>
        <v>0</v>
      </c>
      <c r="S65" s="20"/>
      <c r="T65" s="31"/>
      <c r="U65" s="32"/>
      <c r="V65" s="32"/>
      <c r="W65" s="31"/>
      <c r="X65" s="32"/>
      <c r="Y65" s="33"/>
    </row>
    <row r="66" spans="1:25" ht="12.75" thickBot="1" x14ac:dyDescent="0.25">
      <c r="A66" s="24"/>
      <c r="B66" s="34"/>
      <c r="C66" s="34">
        <v>37</v>
      </c>
      <c r="D66" s="35"/>
      <c r="E66" s="36"/>
      <c r="F66" s="36"/>
      <c r="G66" s="36"/>
      <c r="H66" s="36"/>
      <c r="I66" s="36"/>
      <c r="J66" s="37">
        <f t="shared" si="0"/>
        <v>0</v>
      </c>
      <c r="L66" s="35"/>
      <c r="M66" s="36"/>
      <c r="N66" s="36"/>
      <c r="O66" s="36"/>
      <c r="P66" s="36"/>
      <c r="Q66" s="36"/>
      <c r="R66" s="37">
        <f t="shared" si="1"/>
        <v>0</v>
      </c>
      <c r="S66" s="20"/>
      <c r="T66" s="41"/>
      <c r="U66" s="42"/>
      <c r="V66" s="42"/>
      <c r="W66" s="41"/>
      <c r="X66" s="42"/>
      <c r="Y66" s="43"/>
    </row>
    <row r="67" spans="1:25" x14ac:dyDescent="0.2">
      <c r="A67" s="24"/>
      <c r="B67" s="13" t="s">
        <v>19</v>
      </c>
      <c r="C67" s="13">
        <v>22</v>
      </c>
      <c r="D67" s="14"/>
      <c r="E67" s="15"/>
      <c r="F67" s="15"/>
      <c r="G67" s="15"/>
      <c r="H67" s="15"/>
      <c r="I67" s="15"/>
      <c r="J67" s="16">
        <f t="shared" si="0"/>
        <v>0</v>
      </c>
      <c r="L67" s="14"/>
      <c r="M67" s="15"/>
      <c r="N67" s="15"/>
      <c r="O67" s="15"/>
      <c r="P67" s="15"/>
      <c r="Q67" s="15"/>
      <c r="R67" s="16">
        <f t="shared" si="1"/>
        <v>0</v>
      </c>
      <c r="S67" s="20"/>
      <c r="T67" s="21" t="e">
        <f>bdrate($D67:$D70,E67:E70,$L67:$L70,M67:M70)</f>
        <v>#VALUE!</v>
      </c>
      <c r="U67" s="22" t="e">
        <f>bdrate($D67:$D70,F67:F70,$L67:$L70,N67:N70)</f>
        <v>#VALUE!</v>
      </c>
      <c r="V67" s="22" t="e">
        <f>bdrate($D67:$D70,G67:G70,$L67:$L70,O67:O70)</f>
        <v>#VALUE!</v>
      </c>
      <c r="W67" s="44" t="e">
        <f>bdrateOld($D67:$D70,E67:E70,$L67:$L70,M67:M70)</f>
        <v>#VALUE!</v>
      </c>
      <c r="X67" s="45" t="e">
        <f>bdrateOld($D67:$D70,F67:F70,$L67:$L70,N67:N70)</f>
        <v>#VALUE!</v>
      </c>
      <c r="Y67" s="46" t="e">
        <f>bdrateOld($D67:$D70,G67:G70,$L67:$L70,O67:O70)</f>
        <v>#VALUE!</v>
      </c>
    </row>
    <row r="68" spans="1:25" x14ac:dyDescent="0.2">
      <c r="A68" s="24"/>
      <c r="B68" s="24"/>
      <c r="C68" s="24">
        <v>27</v>
      </c>
      <c r="D68" s="25"/>
      <c r="E68" s="26"/>
      <c r="F68" s="26"/>
      <c r="G68" s="26"/>
      <c r="H68" s="26"/>
      <c r="I68" s="26"/>
      <c r="J68" s="27">
        <f t="shared" ref="J68:J98" si="2">H68/3600</f>
        <v>0</v>
      </c>
      <c r="L68" s="25"/>
      <c r="M68" s="26"/>
      <c r="N68" s="26"/>
      <c r="O68" s="26"/>
      <c r="P68" s="26"/>
      <c r="Q68" s="26"/>
      <c r="R68" s="27">
        <f t="shared" ref="R68:R98" si="3">P68/3600</f>
        <v>0</v>
      </c>
      <c r="S68" s="20"/>
      <c r="T68" s="31"/>
      <c r="U68" s="32"/>
      <c r="V68" s="32"/>
      <c r="W68" s="31"/>
      <c r="X68" s="32"/>
      <c r="Y68" s="33"/>
    </row>
    <row r="69" spans="1:25" x14ac:dyDescent="0.2">
      <c r="A69" s="24"/>
      <c r="B69" s="24"/>
      <c r="C69" s="24">
        <v>32</v>
      </c>
      <c r="D69" s="25"/>
      <c r="E69" s="26"/>
      <c r="F69" s="26"/>
      <c r="G69" s="26"/>
      <c r="H69" s="26"/>
      <c r="I69" s="26"/>
      <c r="J69" s="27">
        <f t="shared" si="2"/>
        <v>0</v>
      </c>
      <c r="L69" s="25"/>
      <c r="M69" s="26"/>
      <c r="N69" s="26"/>
      <c r="O69" s="26"/>
      <c r="P69" s="26"/>
      <c r="Q69" s="26"/>
      <c r="R69" s="27">
        <f t="shared" si="3"/>
        <v>0</v>
      </c>
      <c r="S69" s="20"/>
      <c r="T69" s="31"/>
      <c r="U69" s="32"/>
      <c r="V69" s="32"/>
      <c r="W69" s="31"/>
      <c r="X69" s="32"/>
      <c r="Y69" s="33"/>
    </row>
    <row r="70" spans="1:25" ht="12.75" thickBot="1" x14ac:dyDescent="0.25">
      <c r="A70" s="34"/>
      <c r="B70" s="34"/>
      <c r="C70" s="34">
        <v>37</v>
      </c>
      <c r="D70" s="35"/>
      <c r="E70" s="36"/>
      <c r="F70" s="36"/>
      <c r="G70" s="36"/>
      <c r="H70" s="36"/>
      <c r="I70" s="36"/>
      <c r="J70" s="37">
        <f t="shared" si="2"/>
        <v>0</v>
      </c>
      <c r="L70" s="35"/>
      <c r="M70" s="36"/>
      <c r="N70" s="36"/>
      <c r="O70" s="36"/>
      <c r="P70" s="36"/>
      <c r="Q70" s="36"/>
      <c r="R70" s="37">
        <f t="shared" si="3"/>
        <v>0</v>
      </c>
      <c r="S70" s="20"/>
      <c r="T70" s="41"/>
      <c r="U70" s="42"/>
      <c r="V70" s="42"/>
      <c r="W70" s="41"/>
      <c r="X70" s="42"/>
      <c r="Y70" s="43"/>
    </row>
    <row r="71" spans="1:25" x14ac:dyDescent="0.2">
      <c r="A71" s="13" t="s">
        <v>25</v>
      </c>
      <c r="B71" s="13" t="s">
        <v>86</v>
      </c>
      <c r="C71" s="13">
        <v>22</v>
      </c>
      <c r="D71" s="14"/>
      <c r="E71" s="15"/>
      <c r="F71" s="15"/>
      <c r="G71" s="15"/>
      <c r="H71" s="15"/>
      <c r="I71" s="15"/>
      <c r="J71" s="16">
        <f t="shared" si="2"/>
        <v>0</v>
      </c>
      <c r="L71" s="14"/>
      <c r="M71" s="15"/>
      <c r="N71" s="15"/>
      <c r="O71" s="15"/>
      <c r="P71" s="15"/>
      <c r="Q71" s="15"/>
      <c r="R71" s="16">
        <f t="shared" si="3"/>
        <v>0</v>
      </c>
      <c r="S71" s="20"/>
      <c r="T71" s="21" t="e">
        <f>bdrate($D71:$D74,E71:E74,$L71:$L74,M71:M74)</f>
        <v>#VALUE!</v>
      </c>
      <c r="U71" s="22" t="e">
        <f>bdrate($D71:$D74,F71:F74,$L71:$L74,N71:N74)</f>
        <v>#VALUE!</v>
      </c>
      <c r="V71" s="22" t="e">
        <f>bdrate($D71:$D74,G71:G74,$L71:$L74,O71:O74)</f>
        <v>#VALUE!</v>
      </c>
      <c r="W71" s="44" t="e">
        <f>bdrateOld($D71:$D74,E71:E74,$L71:$L74,M71:M74)</f>
        <v>#VALUE!</v>
      </c>
      <c r="X71" s="45" t="e">
        <f>bdrateOld($D71:$D74,F71:F74,$L71:$L74,N71:N74)</f>
        <v>#VALUE!</v>
      </c>
      <c r="Y71" s="46" t="e">
        <f>bdrateOld($D71:$D74,G71:G74,$L71:$L74,O71:O74)</f>
        <v>#VALUE!</v>
      </c>
    </row>
    <row r="72" spans="1:25" x14ac:dyDescent="0.2">
      <c r="A72" s="24" t="s">
        <v>26</v>
      </c>
      <c r="B72" s="24"/>
      <c r="C72" s="24">
        <v>27</v>
      </c>
      <c r="D72" s="25"/>
      <c r="E72" s="26"/>
      <c r="F72" s="26"/>
      <c r="G72" s="26"/>
      <c r="H72" s="26"/>
      <c r="I72" s="26"/>
      <c r="J72" s="27">
        <f t="shared" si="2"/>
        <v>0</v>
      </c>
      <c r="L72" s="25"/>
      <c r="M72" s="26"/>
      <c r="N72" s="26"/>
      <c r="O72" s="26"/>
      <c r="P72" s="26"/>
      <c r="Q72" s="26"/>
      <c r="R72" s="27">
        <f t="shared" si="3"/>
        <v>0</v>
      </c>
      <c r="S72" s="20"/>
      <c r="T72" s="31"/>
      <c r="U72" s="32"/>
      <c r="V72" s="32"/>
      <c r="W72" s="31"/>
      <c r="X72" s="32"/>
      <c r="Y72" s="33"/>
    </row>
    <row r="73" spans="1:25" x14ac:dyDescent="0.2">
      <c r="A73" s="24"/>
      <c r="B73" s="24"/>
      <c r="C73" s="24">
        <v>32</v>
      </c>
      <c r="D73" s="25"/>
      <c r="E73" s="26"/>
      <c r="F73" s="26"/>
      <c r="G73" s="26"/>
      <c r="H73" s="26"/>
      <c r="I73" s="26"/>
      <c r="J73" s="27">
        <f t="shared" si="2"/>
        <v>0</v>
      </c>
      <c r="L73" s="25"/>
      <c r="M73" s="26"/>
      <c r="N73" s="26"/>
      <c r="O73" s="26"/>
      <c r="P73" s="26"/>
      <c r="Q73" s="26"/>
      <c r="R73" s="27">
        <f t="shared" si="3"/>
        <v>0</v>
      </c>
      <c r="S73" s="20"/>
      <c r="T73" s="31"/>
      <c r="U73" s="32"/>
      <c r="V73" s="32"/>
      <c r="W73" s="31"/>
      <c r="X73" s="32"/>
      <c r="Y73" s="33"/>
    </row>
    <row r="74" spans="1:25" ht="12.75" thickBot="1" x14ac:dyDescent="0.25">
      <c r="A74" s="24"/>
      <c r="B74" s="34"/>
      <c r="C74" s="34">
        <v>37</v>
      </c>
      <c r="D74" s="35"/>
      <c r="E74" s="36"/>
      <c r="F74" s="36"/>
      <c r="G74" s="36"/>
      <c r="H74" s="36"/>
      <c r="I74" s="36"/>
      <c r="J74" s="37">
        <f t="shared" si="2"/>
        <v>0</v>
      </c>
      <c r="L74" s="35"/>
      <c r="M74" s="36"/>
      <c r="N74" s="36"/>
      <c r="O74" s="36"/>
      <c r="P74" s="36"/>
      <c r="Q74" s="36"/>
      <c r="R74" s="37">
        <f t="shared" si="3"/>
        <v>0</v>
      </c>
      <c r="S74" s="20"/>
      <c r="T74" s="41"/>
      <c r="U74" s="42"/>
      <c r="V74" s="42"/>
      <c r="W74" s="41"/>
      <c r="X74" s="42"/>
      <c r="Y74" s="43"/>
    </row>
    <row r="75" spans="1:25" x14ac:dyDescent="0.2">
      <c r="A75" s="24"/>
      <c r="B75" s="13" t="s">
        <v>87</v>
      </c>
      <c r="C75" s="13">
        <v>22</v>
      </c>
      <c r="D75" s="14"/>
      <c r="E75" s="15"/>
      <c r="F75" s="15"/>
      <c r="G75" s="15"/>
      <c r="H75" s="15"/>
      <c r="I75" s="15"/>
      <c r="J75" s="16">
        <f t="shared" si="2"/>
        <v>0</v>
      </c>
      <c r="L75" s="14"/>
      <c r="M75" s="15"/>
      <c r="N75" s="15"/>
      <c r="O75" s="15"/>
      <c r="P75" s="15"/>
      <c r="Q75" s="15"/>
      <c r="R75" s="16">
        <f t="shared" si="3"/>
        <v>0</v>
      </c>
      <c r="S75" s="20"/>
      <c r="T75" s="21" t="e">
        <f>bdrate($D75:$D78,E75:E78,$L75:$L78,M75:M78)</f>
        <v>#VALUE!</v>
      </c>
      <c r="U75" s="22" t="e">
        <f>bdrate($D75:$D78,F75:F78,$L75:$L78,N75:N78)</f>
        <v>#VALUE!</v>
      </c>
      <c r="V75" s="22" t="e">
        <f>bdrate($D75:$D78,G75:G78,$L75:$L78,O75:O78)</f>
        <v>#VALUE!</v>
      </c>
      <c r="W75" s="44" t="e">
        <f>bdrateOld($D75:$D78,E75:E78,$L75:$L78,M75:M78)</f>
        <v>#VALUE!</v>
      </c>
      <c r="X75" s="45" t="e">
        <f>bdrateOld($D75:$D78,F75:F78,$L75:$L78,N75:N78)</f>
        <v>#VALUE!</v>
      </c>
      <c r="Y75" s="46" t="e">
        <f>bdrateOld($D75:$D78,G75:G78,$L75:$L78,O75:O78)</f>
        <v>#VALUE!</v>
      </c>
    </row>
    <row r="76" spans="1:25" x14ac:dyDescent="0.2">
      <c r="A76" s="24"/>
      <c r="B76" s="24"/>
      <c r="C76" s="24">
        <v>27</v>
      </c>
      <c r="D76" s="25"/>
      <c r="E76" s="26"/>
      <c r="F76" s="26"/>
      <c r="G76" s="26"/>
      <c r="H76" s="26"/>
      <c r="I76" s="26"/>
      <c r="J76" s="27">
        <f t="shared" si="2"/>
        <v>0</v>
      </c>
      <c r="L76" s="25"/>
      <c r="M76" s="26"/>
      <c r="N76" s="26"/>
      <c r="O76" s="26"/>
      <c r="P76" s="26"/>
      <c r="Q76" s="26"/>
      <c r="R76" s="27">
        <f t="shared" si="3"/>
        <v>0</v>
      </c>
      <c r="S76" s="20"/>
      <c r="T76" s="31"/>
      <c r="U76" s="32"/>
      <c r="V76" s="32"/>
      <c r="W76" s="31"/>
      <c r="X76" s="32"/>
      <c r="Y76" s="33"/>
    </row>
    <row r="77" spans="1:25" x14ac:dyDescent="0.2">
      <c r="A77" s="24"/>
      <c r="B77" s="24"/>
      <c r="C77" s="24">
        <v>32</v>
      </c>
      <c r="D77" s="25"/>
      <c r="E77" s="26"/>
      <c r="F77" s="26"/>
      <c r="G77" s="26"/>
      <c r="H77" s="26"/>
      <c r="I77" s="26"/>
      <c r="J77" s="27">
        <f t="shared" si="2"/>
        <v>0</v>
      </c>
      <c r="L77" s="25"/>
      <c r="M77" s="26"/>
      <c r="N77" s="26"/>
      <c r="O77" s="26"/>
      <c r="P77" s="26"/>
      <c r="Q77" s="26"/>
      <c r="R77" s="27">
        <f t="shared" si="3"/>
        <v>0</v>
      </c>
      <c r="S77" s="20"/>
      <c r="T77" s="31"/>
      <c r="U77" s="32"/>
      <c r="V77" s="32"/>
      <c r="W77" s="31"/>
      <c r="X77" s="32"/>
      <c r="Y77" s="33"/>
    </row>
    <row r="78" spans="1:25" ht="12.75" thickBot="1" x14ac:dyDescent="0.25">
      <c r="A78" s="24"/>
      <c r="B78" s="34"/>
      <c r="C78" s="34">
        <v>37</v>
      </c>
      <c r="D78" s="35"/>
      <c r="E78" s="36"/>
      <c r="F78" s="36"/>
      <c r="G78" s="36"/>
      <c r="H78" s="36"/>
      <c r="I78" s="36"/>
      <c r="J78" s="37">
        <f t="shared" si="2"/>
        <v>0</v>
      </c>
      <c r="L78" s="35"/>
      <c r="M78" s="36"/>
      <c r="N78" s="36"/>
      <c r="O78" s="36"/>
      <c r="P78" s="36"/>
      <c r="Q78" s="36"/>
      <c r="R78" s="37">
        <f t="shared" si="3"/>
        <v>0</v>
      </c>
      <c r="S78" s="20"/>
      <c r="T78" s="41"/>
      <c r="U78" s="42"/>
      <c r="V78" s="42"/>
      <c r="W78" s="41"/>
      <c r="X78" s="42"/>
      <c r="Y78" s="43"/>
    </row>
    <row r="79" spans="1:25" x14ac:dyDescent="0.2">
      <c r="A79" s="24"/>
      <c r="B79" s="13" t="s">
        <v>88</v>
      </c>
      <c r="C79" s="13">
        <v>22</v>
      </c>
      <c r="D79" s="14"/>
      <c r="E79" s="15"/>
      <c r="F79" s="15"/>
      <c r="G79" s="15"/>
      <c r="H79" s="15"/>
      <c r="I79" s="15"/>
      <c r="J79" s="16">
        <f t="shared" si="2"/>
        <v>0</v>
      </c>
      <c r="L79" s="14"/>
      <c r="M79" s="15"/>
      <c r="N79" s="15"/>
      <c r="O79" s="15"/>
      <c r="P79" s="15"/>
      <c r="Q79" s="15"/>
      <c r="R79" s="16">
        <f t="shared" si="3"/>
        <v>0</v>
      </c>
      <c r="S79" s="20"/>
      <c r="T79" s="21" t="e">
        <f>bdrate($D79:$D82,E79:E82,$L79:$L82,M79:M82)</f>
        <v>#VALUE!</v>
      </c>
      <c r="U79" s="22" t="e">
        <f>bdrate($D79:$D82,F79:F82,$L79:$L82,N79:N82)</f>
        <v>#VALUE!</v>
      </c>
      <c r="V79" s="22" t="e">
        <f>bdrate($D79:$D82,G79:G82,$L79:$L82,O79:O82)</f>
        <v>#VALUE!</v>
      </c>
      <c r="W79" s="44" t="e">
        <f>bdrateOld($D79:$D82,E79:E82,$L79:$L82,M79:M82)</f>
        <v>#VALUE!</v>
      </c>
      <c r="X79" s="45" t="e">
        <f>bdrateOld($D79:$D82,F79:F82,$L79:$L82,N79:N82)</f>
        <v>#VALUE!</v>
      </c>
      <c r="Y79" s="46" t="e">
        <f>bdrateOld($D79:$D82,G79:G82,$L79:$L82,O79:O82)</f>
        <v>#VALUE!</v>
      </c>
    </row>
    <row r="80" spans="1:25" x14ac:dyDescent="0.2">
      <c r="A80" s="24"/>
      <c r="B80" s="24"/>
      <c r="C80" s="24">
        <v>27</v>
      </c>
      <c r="D80" s="25"/>
      <c r="E80" s="26"/>
      <c r="F80" s="26"/>
      <c r="G80" s="26"/>
      <c r="H80" s="26"/>
      <c r="I80" s="26"/>
      <c r="J80" s="27">
        <f t="shared" si="2"/>
        <v>0</v>
      </c>
      <c r="L80" s="25"/>
      <c r="M80" s="26"/>
      <c r="N80" s="26"/>
      <c r="O80" s="26"/>
      <c r="P80" s="26"/>
      <c r="Q80" s="26"/>
      <c r="R80" s="27">
        <f t="shared" si="3"/>
        <v>0</v>
      </c>
      <c r="S80" s="20"/>
      <c r="T80" s="31"/>
      <c r="U80" s="32"/>
      <c r="V80" s="32"/>
      <c r="W80" s="31"/>
      <c r="X80" s="32"/>
      <c r="Y80" s="33"/>
    </row>
    <row r="81" spans="1:25" x14ac:dyDescent="0.2">
      <c r="A81" s="24"/>
      <c r="B81" s="24"/>
      <c r="C81" s="24">
        <v>32</v>
      </c>
      <c r="D81" s="25"/>
      <c r="E81" s="26"/>
      <c r="F81" s="26"/>
      <c r="G81" s="26"/>
      <c r="H81" s="26"/>
      <c r="I81" s="26"/>
      <c r="J81" s="27">
        <f t="shared" si="2"/>
        <v>0</v>
      </c>
      <c r="L81" s="25"/>
      <c r="M81" s="26"/>
      <c r="N81" s="26"/>
      <c r="O81" s="26"/>
      <c r="P81" s="26"/>
      <c r="Q81" s="26"/>
      <c r="R81" s="27">
        <f t="shared" si="3"/>
        <v>0</v>
      </c>
      <c r="S81" s="20"/>
      <c r="T81" s="31"/>
      <c r="U81" s="32"/>
      <c r="V81" s="32"/>
      <c r="W81" s="31"/>
      <c r="X81" s="32"/>
      <c r="Y81" s="33"/>
    </row>
    <row r="82" spans="1:25" ht="12.75" thickBot="1" x14ac:dyDescent="0.25">
      <c r="A82" s="34"/>
      <c r="B82" s="34"/>
      <c r="C82" s="34">
        <v>37</v>
      </c>
      <c r="D82" s="35"/>
      <c r="E82" s="36"/>
      <c r="F82" s="36"/>
      <c r="G82" s="36"/>
      <c r="H82" s="36"/>
      <c r="I82" s="36"/>
      <c r="J82" s="37">
        <f t="shared" si="2"/>
        <v>0</v>
      </c>
      <c r="L82" s="35"/>
      <c r="M82" s="36"/>
      <c r="N82" s="36"/>
      <c r="O82" s="36"/>
      <c r="P82" s="36"/>
      <c r="Q82" s="36"/>
      <c r="R82" s="37">
        <f t="shared" si="3"/>
        <v>0</v>
      </c>
      <c r="S82" s="20"/>
      <c r="T82" s="41"/>
      <c r="U82" s="42"/>
      <c r="V82" s="42"/>
      <c r="W82" s="41"/>
      <c r="X82" s="42"/>
      <c r="Y82" s="43"/>
    </row>
    <row r="83" spans="1:25" x14ac:dyDescent="0.2">
      <c r="A83" s="117" t="s">
        <v>61</v>
      </c>
      <c r="B83" s="117" t="s">
        <v>62</v>
      </c>
      <c r="C83" s="117">
        <v>22</v>
      </c>
      <c r="D83" s="14"/>
      <c r="E83" s="15"/>
      <c r="F83" s="15"/>
      <c r="G83" s="15"/>
      <c r="H83" s="15"/>
      <c r="I83" s="15"/>
      <c r="J83" s="16">
        <f t="shared" si="2"/>
        <v>0</v>
      </c>
      <c r="L83" s="14"/>
      <c r="M83" s="15"/>
      <c r="N83" s="15"/>
      <c r="O83" s="15"/>
      <c r="P83" s="15"/>
      <c r="Q83" s="15"/>
      <c r="R83" s="16">
        <f t="shared" si="3"/>
        <v>0</v>
      </c>
      <c r="S83" s="20"/>
      <c r="T83" s="21" t="e">
        <f>bdrate($D83:$D86,E83:E86,$L83:$L86,M83:M86)</f>
        <v>#VALUE!</v>
      </c>
      <c r="U83" s="22" t="e">
        <f>bdrate($D83:$D86,F83:F86,$L83:$L86,N83:N86)</f>
        <v>#VALUE!</v>
      </c>
      <c r="V83" s="22" t="e">
        <f>bdrate($D83:$D86,G83:G86,$L83:$L86,O83:O86)</f>
        <v>#VALUE!</v>
      </c>
      <c r="W83" s="44" t="e">
        <f>bdrateOld($D83:$D86,E83:E86,$L83:$L86,M83:M86)</f>
        <v>#VALUE!</v>
      </c>
      <c r="X83" s="45" t="e">
        <f>bdrateOld($D83:$D86,F83:F86,$L83:$L86,N83:N86)</f>
        <v>#VALUE!</v>
      </c>
      <c r="Y83" s="46" t="e">
        <f>bdrateOld($D83:$D86,G83:G86,$L83:$L86,O83:O86)</f>
        <v>#VALUE!</v>
      </c>
    </row>
    <row r="84" spans="1:25" x14ac:dyDescent="0.2">
      <c r="A84" s="118"/>
      <c r="B84" s="118"/>
      <c r="C84" s="118">
        <v>27</v>
      </c>
      <c r="D84" s="25"/>
      <c r="E84" s="26"/>
      <c r="F84" s="26"/>
      <c r="G84" s="26"/>
      <c r="H84" s="26"/>
      <c r="I84" s="26"/>
      <c r="J84" s="27">
        <f t="shared" si="2"/>
        <v>0</v>
      </c>
      <c r="L84" s="25"/>
      <c r="M84" s="26"/>
      <c r="N84" s="26"/>
      <c r="O84" s="26"/>
      <c r="P84" s="26"/>
      <c r="Q84" s="26"/>
      <c r="R84" s="27">
        <f t="shared" si="3"/>
        <v>0</v>
      </c>
      <c r="S84" s="20"/>
      <c r="T84" s="31"/>
      <c r="U84" s="32"/>
      <c r="V84" s="32"/>
      <c r="W84" s="31"/>
      <c r="X84" s="32"/>
      <c r="Y84" s="33"/>
    </row>
    <row r="85" spans="1:25" x14ac:dyDescent="0.2">
      <c r="A85" s="118"/>
      <c r="B85" s="118"/>
      <c r="C85" s="118">
        <v>32</v>
      </c>
      <c r="D85" s="25"/>
      <c r="E85" s="26"/>
      <c r="F85" s="26"/>
      <c r="G85" s="26"/>
      <c r="H85" s="26"/>
      <c r="I85" s="26"/>
      <c r="J85" s="27">
        <f t="shared" si="2"/>
        <v>0</v>
      </c>
      <c r="L85" s="25"/>
      <c r="M85" s="26"/>
      <c r="N85" s="26"/>
      <c r="O85" s="26"/>
      <c r="P85" s="26"/>
      <c r="Q85" s="26"/>
      <c r="R85" s="27">
        <f t="shared" si="3"/>
        <v>0</v>
      </c>
      <c r="S85" s="20"/>
      <c r="T85" s="31"/>
      <c r="U85" s="32"/>
      <c r="V85" s="32"/>
      <c r="W85" s="31"/>
      <c r="X85" s="32"/>
      <c r="Y85" s="33"/>
    </row>
    <row r="86" spans="1:25" ht="12.75" thickBot="1" x14ac:dyDescent="0.25">
      <c r="A86" s="118"/>
      <c r="B86" s="119"/>
      <c r="C86" s="119">
        <v>37</v>
      </c>
      <c r="D86" s="35"/>
      <c r="E86" s="36"/>
      <c r="F86" s="36"/>
      <c r="G86" s="36"/>
      <c r="H86" s="36"/>
      <c r="I86" s="36"/>
      <c r="J86" s="37">
        <f t="shared" si="2"/>
        <v>0</v>
      </c>
      <c r="L86" s="35"/>
      <c r="M86" s="36"/>
      <c r="N86" s="36"/>
      <c r="O86" s="36"/>
      <c r="P86" s="36"/>
      <c r="Q86" s="36"/>
      <c r="R86" s="37">
        <f t="shared" si="3"/>
        <v>0</v>
      </c>
      <c r="S86" s="20"/>
      <c r="T86" s="41"/>
      <c r="U86" s="42"/>
      <c r="V86" s="42"/>
      <c r="W86" s="41"/>
      <c r="X86" s="42"/>
      <c r="Y86" s="43"/>
    </row>
    <row r="87" spans="1:25" x14ac:dyDescent="0.2">
      <c r="A87" s="118"/>
      <c r="B87" s="117" t="s">
        <v>63</v>
      </c>
      <c r="C87" s="117">
        <v>22</v>
      </c>
      <c r="D87" s="14"/>
      <c r="E87" s="15"/>
      <c r="F87" s="15"/>
      <c r="G87" s="15"/>
      <c r="H87" s="15"/>
      <c r="I87" s="15"/>
      <c r="J87" s="16">
        <f t="shared" si="2"/>
        <v>0</v>
      </c>
      <c r="L87" s="14"/>
      <c r="M87" s="15"/>
      <c r="N87" s="15"/>
      <c r="O87" s="15"/>
      <c r="P87" s="15"/>
      <c r="Q87" s="15"/>
      <c r="R87" s="16">
        <f t="shared" si="3"/>
        <v>0</v>
      </c>
      <c r="S87" s="20"/>
      <c r="T87" s="21" t="e">
        <f>bdrate($D87:$D90,E87:E90,$L87:$L90,M87:M90)</f>
        <v>#VALUE!</v>
      </c>
      <c r="U87" s="22" t="e">
        <f>bdrate($D87:$D90,F87:F90,$L87:$L90,N87:N90)</f>
        <v>#VALUE!</v>
      </c>
      <c r="V87" s="22" t="e">
        <f>bdrate($D87:$D90,G87:G90,$L87:$L90,O87:O90)</f>
        <v>#VALUE!</v>
      </c>
      <c r="W87" s="44" t="e">
        <f>bdrateOld($D87:$D90,E87:E90,$L87:$L90,M87:M90)</f>
        <v>#VALUE!</v>
      </c>
      <c r="X87" s="45" t="e">
        <f>bdrateOld($D87:$D90,F87:F90,$L87:$L90,N87:N90)</f>
        <v>#VALUE!</v>
      </c>
      <c r="Y87" s="46" t="e">
        <f>bdrateOld($D87:$D90,G87:G90,$L87:$L90,O87:O90)</f>
        <v>#VALUE!</v>
      </c>
    </row>
    <row r="88" spans="1:25" x14ac:dyDescent="0.2">
      <c r="A88" s="118"/>
      <c r="B88" s="118"/>
      <c r="C88" s="118">
        <v>27</v>
      </c>
      <c r="D88" s="25"/>
      <c r="E88" s="26"/>
      <c r="F88" s="26"/>
      <c r="G88" s="26"/>
      <c r="H88" s="26"/>
      <c r="I88" s="26"/>
      <c r="J88" s="27">
        <f t="shared" si="2"/>
        <v>0</v>
      </c>
      <c r="L88" s="25"/>
      <c r="M88" s="26"/>
      <c r="N88" s="26"/>
      <c r="O88" s="26"/>
      <c r="P88" s="26"/>
      <c r="Q88" s="26"/>
      <c r="R88" s="27">
        <f t="shared" si="3"/>
        <v>0</v>
      </c>
      <c r="S88" s="20"/>
      <c r="T88" s="31"/>
      <c r="U88" s="32"/>
      <c r="V88" s="32"/>
      <c r="W88" s="31"/>
      <c r="X88" s="32"/>
      <c r="Y88" s="33"/>
    </row>
    <row r="89" spans="1:25" x14ac:dyDescent="0.2">
      <c r="A89" s="118"/>
      <c r="B89" s="118"/>
      <c r="C89" s="118">
        <v>32</v>
      </c>
      <c r="D89" s="25"/>
      <c r="E89" s="26"/>
      <c r="F89" s="26"/>
      <c r="G89" s="26"/>
      <c r="H89" s="26"/>
      <c r="I89" s="26"/>
      <c r="J89" s="27">
        <f t="shared" si="2"/>
        <v>0</v>
      </c>
      <c r="L89" s="25"/>
      <c r="M89" s="26"/>
      <c r="N89" s="26"/>
      <c r="O89" s="26"/>
      <c r="P89" s="26"/>
      <c r="Q89" s="26"/>
      <c r="R89" s="27">
        <f t="shared" si="3"/>
        <v>0</v>
      </c>
      <c r="S89" s="20"/>
      <c r="T89" s="31"/>
      <c r="U89" s="32"/>
      <c r="V89" s="32"/>
      <c r="W89" s="31"/>
      <c r="X89" s="32"/>
      <c r="Y89" s="33"/>
    </row>
    <row r="90" spans="1:25" ht="12.75" thickBot="1" x14ac:dyDescent="0.25">
      <c r="A90" s="118"/>
      <c r="B90" s="119"/>
      <c r="C90" s="119">
        <v>37</v>
      </c>
      <c r="D90" s="35"/>
      <c r="E90" s="36"/>
      <c r="F90" s="36"/>
      <c r="G90" s="36"/>
      <c r="H90" s="36"/>
      <c r="I90" s="36"/>
      <c r="J90" s="37">
        <f t="shared" si="2"/>
        <v>0</v>
      </c>
      <c r="L90" s="35"/>
      <c r="M90" s="36"/>
      <c r="N90" s="36"/>
      <c r="O90" s="36"/>
      <c r="P90" s="36"/>
      <c r="Q90" s="36"/>
      <c r="R90" s="37">
        <f t="shared" si="3"/>
        <v>0</v>
      </c>
      <c r="S90" s="20"/>
      <c r="T90" s="41"/>
      <c r="U90" s="42"/>
      <c r="V90" s="42"/>
      <c r="W90" s="41"/>
      <c r="X90" s="42"/>
      <c r="Y90" s="43"/>
    </row>
    <row r="91" spans="1:25" x14ac:dyDescent="0.2">
      <c r="A91" s="118"/>
      <c r="B91" s="117" t="s">
        <v>64</v>
      </c>
      <c r="C91" s="117">
        <v>22</v>
      </c>
      <c r="D91" s="14"/>
      <c r="E91" s="15"/>
      <c r="F91" s="15"/>
      <c r="G91" s="15"/>
      <c r="H91" s="15"/>
      <c r="I91" s="15"/>
      <c r="J91" s="16">
        <f t="shared" si="2"/>
        <v>0</v>
      </c>
      <c r="L91" s="14"/>
      <c r="M91" s="15"/>
      <c r="N91" s="15"/>
      <c r="O91" s="15"/>
      <c r="P91" s="15"/>
      <c r="Q91" s="15"/>
      <c r="R91" s="16">
        <f t="shared" si="3"/>
        <v>0</v>
      </c>
      <c r="S91" s="20"/>
      <c r="T91" s="21" t="e">
        <f>bdrate($D91:$D94,E91:E94,$L91:$L94,M91:M94)</f>
        <v>#VALUE!</v>
      </c>
      <c r="U91" s="22" t="e">
        <f>bdrate($D91:$D94,F91:F94,$L91:$L94,N91:N94)</f>
        <v>#VALUE!</v>
      </c>
      <c r="V91" s="22" t="e">
        <f>bdrate($D91:$D94,G91:G94,$L91:$L94,O91:O94)</f>
        <v>#VALUE!</v>
      </c>
      <c r="W91" s="44" t="e">
        <f>bdrateOld($D91:$D94,E91:E94,$L91:$L94,M91:M94)</f>
        <v>#VALUE!</v>
      </c>
      <c r="X91" s="45" t="e">
        <f>bdrateOld($D91:$D94,F91:F94,$L91:$L94,N91:N94)</f>
        <v>#VALUE!</v>
      </c>
      <c r="Y91" s="46" t="e">
        <f>bdrateOld($D91:$D94,G91:G94,$L91:$L94,O91:O94)</f>
        <v>#VALUE!</v>
      </c>
    </row>
    <row r="92" spans="1:25" x14ac:dyDescent="0.2">
      <c r="A92" s="118"/>
      <c r="B92" s="118"/>
      <c r="C92" s="118">
        <v>27</v>
      </c>
      <c r="D92" s="25"/>
      <c r="E92" s="26"/>
      <c r="F92" s="26"/>
      <c r="G92" s="26"/>
      <c r="H92" s="26"/>
      <c r="I92" s="26"/>
      <c r="J92" s="27">
        <f t="shared" si="2"/>
        <v>0</v>
      </c>
      <c r="L92" s="25"/>
      <c r="M92" s="26"/>
      <c r="N92" s="26"/>
      <c r="O92" s="26"/>
      <c r="P92" s="26"/>
      <c r="Q92" s="26"/>
      <c r="R92" s="27">
        <f t="shared" si="3"/>
        <v>0</v>
      </c>
      <c r="S92" s="20"/>
      <c r="T92" s="31"/>
      <c r="U92" s="32"/>
      <c r="V92" s="32"/>
      <c r="W92" s="31"/>
      <c r="X92" s="32"/>
      <c r="Y92" s="33"/>
    </row>
    <row r="93" spans="1:25" x14ac:dyDescent="0.2">
      <c r="A93" s="118"/>
      <c r="B93" s="118"/>
      <c r="C93" s="118">
        <v>32</v>
      </c>
      <c r="D93" s="25"/>
      <c r="E93" s="26"/>
      <c r="F93" s="26"/>
      <c r="G93" s="26"/>
      <c r="H93" s="26"/>
      <c r="I93" s="26"/>
      <c r="J93" s="27">
        <f t="shared" si="2"/>
        <v>0</v>
      </c>
      <c r="L93" s="25"/>
      <c r="M93" s="26"/>
      <c r="N93" s="26"/>
      <c r="O93" s="26"/>
      <c r="P93" s="26"/>
      <c r="Q93" s="26"/>
      <c r="R93" s="27">
        <f t="shared" si="3"/>
        <v>0</v>
      </c>
      <c r="S93" s="20"/>
      <c r="T93" s="31"/>
      <c r="U93" s="32"/>
      <c r="V93" s="32"/>
      <c r="W93" s="31"/>
      <c r="X93" s="32"/>
      <c r="Y93" s="33"/>
    </row>
    <row r="94" spans="1:25" ht="12.75" thickBot="1" x14ac:dyDescent="0.25">
      <c r="A94" s="118"/>
      <c r="B94" s="119"/>
      <c r="C94" s="119">
        <v>37</v>
      </c>
      <c r="D94" s="35"/>
      <c r="E94" s="36"/>
      <c r="F94" s="36"/>
      <c r="G94" s="36"/>
      <c r="H94" s="36"/>
      <c r="I94" s="36"/>
      <c r="J94" s="37">
        <f t="shared" si="2"/>
        <v>0</v>
      </c>
      <c r="L94" s="35"/>
      <c r="M94" s="36"/>
      <c r="N94" s="36"/>
      <c r="O94" s="36"/>
      <c r="P94" s="36"/>
      <c r="Q94" s="36"/>
      <c r="R94" s="37">
        <f t="shared" si="3"/>
        <v>0</v>
      </c>
      <c r="S94" s="20"/>
      <c r="T94" s="41"/>
      <c r="U94" s="42"/>
      <c r="V94" s="42"/>
      <c r="W94" s="41"/>
      <c r="X94" s="42"/>
      <c r="Y94" s="43"/>
    </row>
    <row r="95" spans="1:25" x14ac:dyDescent="0.2">
      <c r="A95" s="118"/>
      <c r="B95" s="117" t="s">
        <v>65</v>
      </c>
      <c r="C95" s="117">
        <v>22</v>
      </c>
      <c r="D95" s="14"/>
      <c r="E95" s="15"/>
      <c r="F95" s="15"/>
      <c r="G95" s="15"/>
      <c r="H95" s="15"/>
      <c r="I95" s="15"/>
      <c r="J95" s="16">
        <f t="shared" si="2"/>
        <v>0</v>
      </c>
      <c r="L95" s="14"/>
      <c r="M95" s="15"/>
      <c r="N95" s="15"/>
      <c r="O95" s="15"/>
      <c r="P95" s="15"/>
      <c r="Q95" s="15"/>
      <c r="R95" s="16">
        <f t="shared" si="3"/>
        <v>0</v>
      </c>
      <c r="S95" s="20"/>
      <c r="T95" s="21" t="e">
        <f>bdrate($D95:$D98,E95:E98,$L95:$L98,M95:M98)</f>
        <v>#VALUE!</v>
      </c>
      <c r="U95" s="22" t="e">
        <f>bdrate($D95:$D98,F95:F98,$L95:$L98,N95:N98)</f>
        <v>#VALUE!</v>
      </c>
      <c r="V95" s="22" t="e">
        <f>bdrate($D95:$D98,G95:G98,$L95:$L98,O95:O98)</f>
        <v>#VALUE!</v>
      </c>
      <c r="W95" s="44" t="e">
        <f>bdrateOld($D95:$D98,E95:E98,$L95:$L98,M95:M98)</f>
        <v>#VALUE!</v>
      </c>
      <c r="X95" s="45" t="e">
        <f>bdrateOld($D95:$D98,F95:F98,$L95:$L98,N95:N98)</f>
        <v>#VALUE!</v>
      </c>
      <c r="Y95" s="46" t="e">
        <f>bdrateOld($D95:$D98,G95:G98,$L95:$L98,O95:O98)</f>
        <v>#VALUE!</v>
      </c>
    </row>
    <row r="96" spans="1:25" x14ac:dyDescent="0.2">
      <c r="A96" s="118"/>
      <c r="B96" s="118"/>
      <c r="C96" s="118">
        <v>27</v>
      </c>
      <c r="D96" s="25"/>
      <c r="E96" s="26"/>
      <c r="F96" s="26"/>
      <c r="G96" s="26"/>
      <c r="H96" s="26"/>
      <c r="I96" s="26"/>
      <c r="J96" s="27">
        <f t="shared" si="2"/>
        <v>0</v>
      </c>
      <c r="L96" s="25"/>
      <c r="M96" s="26"/>
      <c r="N96" s="26"/>
      <c r="O96" s="26"/>
      <c r="P96" s="26"/>
      <c r="Q96" s="26"/>
      <c r="R96" s="27">
        <f t="shared" si="3"/>
        <v>0</v>
      </c>
      <c r="S96" s="20"/>
      <c r="T96" s="31"/>
      <c r="U96" s="32"/>
      <c r="V96" s="32"/>
      <c r="W96" s="31"/>
      <c r="X96" s="32"/>
      <c r="Y96" s="33"/>
    </row>
    <row r="97" spans="1:25" x14ac:dyDescent="0.2">
      <c r="A97" s="118"/>
      <c r="B97" s="118"/>
      <c r="C97" s="118">
        <v>32</v>
      </c>
      <c r="D97" s="25"/>
      <c r="E97" s="26"/>
      <c r="F97" s="26"/>
      <c r="G97" s="26"/>
      <c r="H97" s="26"/>
      <c r="I97" s="26"/>
      <c r="J97" s="27">
        <f t="shared" si="2"/>
        <v>0</v>
      </c>
      <c r="L97" s="25"/>
      <c r="M97" s="26"/>
      <c r="N97" s="26"/>
      <c r="O97" s="26"/>
      <c r="P97" s="26"/>
      <c r="Q97" s="26"/>
      <c r="R97" s="27">
        <f t="shared" si="3"/>
        <v>0</v>
      </c>
      <c r="S97" s="20"/>
      <c r="T97" s="31"/>
      <c r="U97" s="32"/>
      <c r="V97" s="32"/>
      <c r="W97" s="31"/>
      <c r="X97" s="32"/>
      <c r="Y97" s="33"/>
    </row>
    <row r="98" spans="1:25" ht="12.75" thickBot="1" x14ac:dyDescent="0.25">
      <c r="A98" s="119"/>
      <c r="B98" s="119"/>
      <c r="C98" s="119">
        <v>37</v>
      </c>
      <c r="D98" s="35"/>
      <c r="E98" s="36"/>
      <c r="F98" s="36"/>
      <c r="G98" s="36"/>
      <c r="H98" s="36"/>
      <c r="I98" s="36"/>
      <c r="J98" s="37">
        <f t="shared" si="2"/>
        <v>0</v>
      </c>
      <c r="L98" s="35"/>
      <c r="M98" s="36"/>
      <c r="N98" s="36"/>
      <c r="O98" s="36"/>
      <c r="P98" s="36"/>
      <c r="Q98" s="36"/>
      <c r="R98" s="37">
        <f t="shared" si="3"/>
        <v>0</v>
      </c>
      <c r="S98" s="20"/>
      <c r="T98" s="31"/>
      <c r="U98" s="32"/>
      <c r="V98" s="32"/>
      <c r="W98" s="31"/>
      <c r="X98" s="32"/>
      <c r="Y98" s="33"/>
    </row>
    <row r="99" spans="1:25" x14ac:dyDescent="0.2">
      <c r="B99" s="1" t="s">
        <v>2</v>
      </c>
      <c r="T99" s="21"/>
      <c r="U99" s="22"/>
      <c r="V99" s="22"/>
      <c r="W99" s="21"/>
      <c r="X99" s="22"/>
      <c r="Y99" s="23"/>
    </row>
    <row r="100" spans="1:25" x14ac:dyDescent="0.2">
      <c r="B100" s="1" t="s">
        <v>7</v>
      </c>
      <c r="T100" s="44" t="e">
        <f t="shared" ref="T100:Y100" si="4">AVERAGE(T19,T23,T27,T31,T35)</f>
        <v>#VALUE!</v>
      </c>
      <c r="U100" s="45" t="e">
        <f t="shared" si="4"/>
        <v>#VALUE!</v>
      </c>
      <c r="V100" s="45" t="e">
        <f t="shared" si="4"/>
        <v>#VALUE!</v>
      </c>
      <c r="W100" s="44" t="e">
        <f t="shared" si="4"/>
        <v>#VALUE!</v>
      </c>
      <c r="X100" s="45" t="e">
        <f t="shared" si="4"/>
        <v>#VALUE!</v>
      </c>
      <c r="Y100" s="46" t="e">
        <f t="shared" si="4"/>
        <v>#VALUE!</v>
      </c>
    </row>
    <row r="101" spans="1:25" x14ac:dyDescent="0.2">
      <c r="B101" s="1" t="s">
        <v>14</v>
      </c>
      <c r="T101" s="44" t="e">
        <f t="shared" ref="T101:Y101" si="5">AVERAGE(T39,T43,T47,T51)</f>
        <v>#VALUE!</v>
      </c>
      <c r="U101" s="45" t="e">
        <f t="shared" si="5"/>
        <v>#VALUE!</v>
      </c>
      <c r="V101" s="45" t="e">
        <f t="shared" si="5"/>
        <v>#VALUE!</v>
      </c>
      <c r="W101" s="44" t="e">
        <f t="shared" si="5"/>
        <v>#VALUE!</v>
      </c>
      <c r="X101" s="45" t="e">
        <f t="shared" si="5"/>
        <v>#VALUE!</v>
      </c>
      <c r="Y101" s="46" t="e">
        <f t="shared" si="5"/>
        <v>#VALUE!</v>
      </c>
    </row>
    <row r="102" spans="1:25" x14ac:dyDescent="0.2">
      <c r="B102" s="1" t="s">
        <v>20</v>
      </c>
      <c r="T102" s="44" t="e">
        <f t="shared" ref="T102:Y102" si="6">AVERAGE(T55,T59,T63,T67)</f>
        <v>#VALUE!</v>
      </c>
      <c r="U102" s="45" t="e">
        <f t="shared" si="6"/>
        <v>#VALUE!</v>
      </c>
      <c r="V102" s="45" t="e">
        <f t="shared" si="6"/>
        <v>#VALUE!</v>
      </c>
      <c r="W102" s="44" t="e">
        <f t="shared" si="6"/>
        <v>#VALUE!</v>
      </c>
      <c r="X102" s="45" t="e">
        <f t="shared" si="6"/>
        <v>#VALUE!</v>
      </c>
      <c r="Y102" s="46" t="e">
        <f t="shared" si="6"/>
        <v>#VALUE!</v>
      </c>
    </row>
    <row r="103" spans="1:25" x14ac:dyDescent="0.2">
      <c r="B103" s="1" t="s">
        <v>27</v>
      </c>
      <c r="T103" s="44" t="e">
        <f t="shared" ref="T103:Y103" si="7">AVERAGE(T71,T75,T79)</f>
        <v>#VALUE!</v>
      </c>
      <c r="U103" s="45" t="e">
        <f t="shared" si="7"/>
        <v>#VALUE!</v>
      </c>
      <c r="V103" s="45" t="e">
        <f t="shared" si="7"/>
        <v>#VALUE!</v>
      </c>
      <c r="W103" s="44" t="e">
        <f t="shared" si="7"/>
        <v>#VALUE!</v>
      </c>
      <c r="X103" s="45" t="e">
        <f t="shared" si="7"/>
        <v>#VALUE!</v>
      </c>
      <c r="Y103" s="46" t="e">
        <f t="shared" si="7"/>
        <v>#VALUE!</v>
      </c>
    </row>
    <row r="104" spans="1:25" ht="12.75" thickBot="1" x14ac:dyDescent="0.25">
      <c r="B104" s="1" t="s">
        <v>66</v>
      </c>
      <c r="T104" s="48" t="e">
        <f t="shared" ref="T104:Y104" si="8">AVERAGE(T83,T87,T91,T95)</f>
        <v>#VALUE!</v>
      </c>
      <c r="U104" s="49" t="e">
        <f t="shared" si="8"/>
        <v>#VALUE!</v>
      </c>
      <c r="V104" s="49" t="e">
        <f t="shared" si="8"/>
        <v>#VALUE!</v>
      </c>
      <c r="W104" s="48" t="e">
        <f t="shared" si="8"/>
        <v>#VALUE!</v>
      </c>
      <c r="X104" s="49" t="e">
        <f t="shared" si="8"/>
        <v>#VALUE!</v>
      </c>
      <c r="Y104" s="50" t="e">
        <f t="shared" si="8"/>
        <v>#VALUE!</v>
      </c>
    </row>
    <row r="105" spans="1:25" ht="12.75" thickBot="1" x14ac:dyDescent="0.25">
      <c r="A105" s="3"/>
      <c r="B105" s="4" t="s">
        <v>28</v>
      </c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48" t="e">
        <f t="shared" ref="T105:Y105" si="9">AVERAGE(T3:T98)</f>
        <v>#VALUE!</v>
      </c>
      <c r="U105" s="49" t="e">
        <f t="shared" si="9"/>
        <v>#VALUE!</v>
      </c>
      <c r="V105" s="50" t="e">
        <f t="shared" si="9"/>
        <v>#VALUE!</v>
      </c>
      <c r="W105" s="49" t="e">
        <f t="shared" si="9"/>
        <v>#VALUE!</v>
      </c>
      <c r="X105" s="49" t="e">
        <f t="shared" si="9"/>
        <v>#VALUE!</v>
      </c>
      <c r="Y105" s="50" t="e">
        <f t="shared" si="9"/>
        <v>#VALUE!</v>
      </c>
    </row>
    <row r="106" spans="1:25" x14ac:dyDescent="0.2">
      <c r="B106" s="1" t="s">
        <v>29</v>
      </c>
      <c r="I106" s="54" t="e">
        <f>GEOMEAN(I3:I98)</f>
        <v>#NUM!</v>
      </c>
      <c r="J106" s="54" t="e">
        <f>GEOMEAN(J3:J98)</f>
        <v>#NUM!</v>
      </c>
      <c r="Q106" s="54" t="e">
        <f>GEOMEAN(Q3:Q98)</f>
        <v>#NUM!</v>
      </c>
      <c r="R106" s="54" t="e">
        <f>GEOMEAN(R3:R98)</f>
        <v>#NUM!</v>
      </c>
    </row>
    <row r="107" spans="1:25" x14ac:dyDescent="0.2">
      <c r="B107" s="1" t="s">
        <v>30</v>
      </c>
      <c r="Q107" s="55" t="e">
        <f>Q106/I106</f>
        <v>#NUM!</v>
      </c>
      <c r="R107" s="55" t="e">
        <f>R106/J106</f>
        <v>#NUM!</v>
      </c>
    </row>
    <row r="108" spans="1:25" x14ac:dyDescent="0.2">
      <c r="B108" s="1" t="s">
        <v>31</v>
      </c>
      <c r="I108" s="54">
        <f>SUM(I3:I98)/3600</f>
        <v>0</v>
      </c>
      <c r="J108" s="54">
        <f>SUM(J3:J98)</f>
        <v>0</v>
      </c>
      <c r="Q108" s="54">
        <f>SUM(Q3:Q98)/3600</f>
        <v>0</v>
      </c>
      <c r="R108" s="54">
        <f>SUM(R3:R98)</f>
        <v>0</v>
      </c>
    </row>
    <row r="111" spans="1:25" ht="12.75" thickBot="1" x14ac:dyDescent="0.25">
      <c r="B111" s="1" t="s">
        <v>71</v>
      </c>
      <c r="T111" s="48"/>
      <c r="U111" s="49"/>
      <c r="V111" s="49"/>
      <c r="W111" s="48"/>
      <c r="X111" s="49"/>
      <c r="Y111" s="50"/>
    </row>
    <row r="112" spans="1:25" ht="12.75" thickBot="1" x14ac:dyDescent="0.25">
      <c r="A112" s="3"/>
      <c r="B112" s="4" t="s">
        <v>72</v>
      </c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48" t="e">
        <f t="shared" ref="T112:Y112" si="10">AVERAGE(T3,T7,T19,T23,T27,T31,T35,T39,T43,T47,T51,T55,T59,T63,T67,T71,T75,T79)</f>
        <v>#VALUE!</v>
      </c>
      <c r="U112" s="49" t="e">
        <f t="shared" si="10"/>
        <v>#VALUE!</v>
      </c>
      <c r="V112" s="50" t="e">
        <f t="shared" si="10"/>
        <v>#VALUE!</v>
      </c>
      <c r="W112" s="49" t="e">
        <f t="shared" si="10"/>
        <v>#VALUE!</v>
      </c>
      <c r="X112" s="49" t="e">
        <f t="shared" si="10"/>
        <v>#VALUE!</v>
      </c>
      <c r="Y112" s="50" t="e">
        <f t="shared" si="10"/>
        <v>#VALUE!</v>
      </c>
    </row>
    <row r="113" spans="2:18" x14ac:dyDescent="0.2">
      <c r="B113" s="1" t="s">
        <v>29</v>
      </c>
      <c r="I113" s="54" t="e">
        <f>GEOMEAN(I19:I82)</f>
        <v>#NUM!</v>
      </c>
      <c r="J113" s="54" t="e">
        <f>GEOMEAN(J19:J82)</f>
        <v>#NUM!</v>
      </c>
      <c r="Q113" s="54" t="e">
        <f>GEOMEAN(Q19:Q82)</f>
        <v>#NUM!</v>
      </c>
      <c r="R113" s="54" t="e">
        <f>GEOMEAN(R19:R82)</f>
        <v>#NUM!</v>
      </c>
    </row>
    <row r="114" spans="2:18" x14ac:dyDescent="0.2">
      <c r="B114" s="1" t="s">
        <v>30</v>
      </c>
      <c r="Q114" s="55" t="e">
        <f>Q113/I113</f>
        <v>#NUM!</v>
      </c>
      <c r="R114" s="55" t="e">
        <f>R113/J113</f>
        <v>#NUM!</v>
      </c>
    </row>
  </sheetData>
  <mergeCells count="4">
    <mergeCell ref="D1:J1"/>
    <mergeCell ref="L1:R1"/>
    <mergeCell ref="T1:V1"/>
    <mergeCell ref="W1:Y1"/>
  </mergeCells>
  <phoneticPr fontId="2" type="noConversion"/>
  <conditionalFormatting sqref="W78:X78">
    <cfRule type="cellIs" dxfId="427" priority="55" operator="greaterThan">
      <formula>0.03</formula>
    </cfRule>
    <cfRule type="cellIs" dxfId="426" priority="56" stopIfTrue="1" operator="lessThan">
      <formula>-0.03</formula>
    </cfRule>
  </conditionalFormatting>
  <conditionalFormatting sqref="T3:V82">
    <cfRule type="cellIs" dxfId="425" priority="215" operator="greaterThan">
      <formula>0.03</formula>
    </cfRule>
    <cfRule type="cellIs" dxfId="424" priority="216" stopIfTrue="1" operator="lessThan">
      <formula>-0.03</formula>
    </cfRule>
  </conditionalFormatting>
  <conditionalFormatting sqref="W3">
    <cfRule type="cellIs" dxfId="423" priority="213" operator="greaterThan">
      <formula>0.03</formula>
    </cfRule>
    <cfRule type="cellIs" dxfId="422" priority="214" stopIfTrue="1" operator="lessThan">
      <formula>-0.03</formula>
    </cfRule>
  </conditionalFormatting>
  <conditionalFormatting sqref="X3">
    <cfRule type="cellIs" dxfId="421" priority="211" operator="greaterThan">
      <formula>0.03</formula>
    </cfRule>
    <cfRule type="cellIs" dxfId="420" priority="212" stopIfTrue="1" operator="lessThan">
      <formula>-0.03</formula>
    </cfRule>
  </conditionalFormatting>
  <conditionalFormatting sqref="Y3">
    <cfRule type="cellIs" dxfId="419" priority="209" operator="greaterThan">
      <formula>0.03</formula>
    </cfRule>
    <cfRule type="cellIs" dxfId="418" priority="210" stopIfTrue="1" operator="lessThan">
      <formula>-0.03</formula>
    </cfRule>
  </conditionalFormatting>
  <conditionalFormatting sqref="W7">
    <cfRule type="cellIs" dxfId="417" priority="207" operator="greaterThan">
      <formula>0.03</formula>
    </cfRule>
    <cfRule type="cellIs" dxfId="416" priority="208" stopIfTrue="1" operator="lessThan">
      <formula>-0.03</formula>
    </cfRule>
  </conditionalFormatting>
  <conditionalFormatting sqref="X7">
    <cfRule type="cellIs" dxfId="415" priority="205" operator="greaterThan">
      <formula>0.03</formula>
    </cfRule>
    <cfRule type="cellIs" dxfId="414" priority="206" stopIfTrue="1" operator="lessThan">
      <formula>-0.03</formula>
    </cfRule>
  </conditionalFormatting>
  <conditionalFormatting sqref="Y7">
    <cfRule type="cellIs" dxfId="413" priority="203" operator="greaterThan">
      <formula>0.03</formula>
    </cfRule>
    <cfRule type="cellIs" dxfId="412" priority="204" stopIfTrue="1" operator="lessThan">
      <formula>-0.03</formula>
    </cfRule>
  </conditionalFormatting>
  <conditionalFormatting sqref="W11">
    <cfRule type="cellIs" dxfId="411" priority="201" operator="greaterThan">
      <formula>0.03</formula>
    </cfRule>
    <cfRule type="cellIs" dxfId="410" priority="202" stopIfTrue="1" operator="lessThan">
      <formula>-0.03</formula>
    </cfRule>
  </conditionalFormatting>
  <conditionalFormatting sqref="X11">
    <cfRule type="cellIs" dxfId="409" priority="199" operator="greaterThan">
      <formula>0.03</formula>
    </cfRule>
    <cfRule type="cellIs" dxfId="408" priority="200" stopIfTrue="1" operator="lessThan">
      <formula>-0.03</formula>
    </cfRule>
  </conditionalFormatting>
  <conditionalFormatting sqref="Y11">
    <cfRule type="cellIs" dxfId="407" priority="197" operator="greaterThan">
      <formula>0.03</formula>
    </cfRule>
    <cfRule type="cellIs" dxfId="406" priority="198" stopIfTrue="1" operator="lessThan">
      <formula>-0.03</formula>
    </cfRule>
  </conditionalFormatting>
  <conditionalFormatting sqref="W15">
    <cfRule type="cellIs" dxfId="405" priority="195" operator="greaterThan">
      <formula>0.03</formula>
    </cfRule>
    <cfRule type="cellIs" dxfId="404" priority="196" stopIfTrue="1" operator="lessThan">
      <formula>-0.03</formula>
    </cfRule>
  </conditionalFormatting>
  <conditionalFormatting sqref="X15">
    <cfRule type="cellIs" dxfId="403" priority="193" operator="greaterThan">
      <formula>0.03</formula>
    </cfRule>
    <cfRule type="cellIs" dxfId="402" priority="194" stopIfTrue="1" operator="lessThan">
      <formula>-0.03</formula>
    </cfRule>
  </conditionalFormatting>
  <conditionalFormatting sqref="Y15">
    <cfRule type="cellIs" dxfId="401" priority="191" operator="greaterThan">
      <formula>0.03</formula>
    </cfRule>
    <cfRule type="cellIs" dxfId="400" priority="192" stopIfTrue="1" operator="lessThan">
      <formula>-0.03</formula>
    </cfRule>
  </conditionalFormatting>
  <conditionalFormatting sqref="W19">
    <cfRule type="cellIs" dxfId="399" priority="189" operator="greaterThan">
      <formula>0.03</formula>
    </cfRule>
    <cfRule type="cellIs" dxfId="398" priority="190" stopIfTrue="1" operator="lessThan">
      <formula>-0.03</formula>
    </cfRule>
  </conditionalFormatting>
  <conditionalFormatting sqref="X19">
    <cfRule type="cellIs" dxfId="397" priority="187" operator="greaterThan">
      <formula>0.03</formula>
    </cfRule>
    <cfRule type="cellIs" dxfId="396" priority="188" stopIfTrue="1" operator="lessThan">
      <formula>-0.03</formula>
    </cfRule>
  </conditionalFormatting>
  <conditionalFormatting sqref="Y19">
    <cfRule type="cellIs" dxfId="395" priority="185" operator="greaterThan">
      <formula>0.03</formula>
    </cfRule>
    <cfRule type="cellIs" dxfId="394" priority="186" stopIfTrue="1" operator="lessThan">
      <formula>-0.03</formula>
    </cfRule>
  </conditionalFormatting>
  <conditionalFormatting sqref="W23">
    <cfRule type="cellIs" dxfId="393" priority="183" operator="greaterThan">
      <formula>0.03</formula>
    </cfRule>
    <cfRule type="cellIs" dxfId="392" priority="184" stopIfTrue="1" operator="lessThan">
      <formula>-0.03</formula>
    </cfRule>
  </conditionalFormatting>
  <conditionalFormatting sqref="X23">
    <cfRule type="cellIs" dxfId="391" priority="181" operator="greaterThan">
      <formula>0.03</formula>
    </cfRule>
    <cfRule type="cellIs" dxfId="390" priority="182" stopIfTrue="1" operator="lessThan">
      <formula>-0.03</formula>
    </cfRule>
  </conditionalFormatting>
  <conditionalFormatting sqref="Y23">
    <cfRule type="cellIs" dxfId="389" priority="179" operator="greaterThan">
      <formula>0.03</formula>
    </cfRule>
    <cfRule type="cellIs" dxfId="388" priority="180" stopIfTrue="1" operator="lessThan">
      <formula>-0.03</formula>
    </cfRule>
  </conditionalFormatting>
  <conditionalFormatting sqref="W27">
    <cfRule type="cellIs" dxfId="387" priority="177" operator="greaterThan">
      <formula>0.03</formula>
    </cfRule>
    <cfRule type="cellIs" dxfId="386" priority="178" stopIfTrue="1" operator="lessThan">
      <formula>-0.03</formula>
    </cfRule>
  </conditionalFormatting>
  <conditionalFormatting sqref="X27">
    <cfRule type="cellIs" dxfId="385" priority="175" operator="greaterThan">
      <formula>0.03</formula>
    </cfRule>
    <cfRule type="cellIs" dxfId="384" priority="176" stopIfTrue="1" operator="lessThan">
      <formula>-0.03</formula>
    </cfRule>
  </conditionalFormatting>
  <conditionalFormatting sqref="Y27">
    <cfRule type="cellIs" dxfId="383" priority="173" operator="greaterThan">
      <formula>0.03</formula>
    </cfRule>
    <cfRule type="cellIs" dxfId="382" priority="174" stopIfTrue="1" operator="lessThan">
      <formula>-0.03</formula>
    </cfRule>
  </conditionalFormatting>
  <conditionalFormatting sqref="W31">
    <cfRule type="cellIs" dxfId="381" priority="171" operator="greaterThan">
      <formula>0.03</formula>
    </cfRule>
    <cfRule type="cellIs" dxfId="380" priority="172" stopIfTrue="1" operator="lessThan">
      <formula>-0.03</formula>
    </cfRule>
  </conditionalFormatting>
  <conditionalFormatting sqref="X31">
    <cfRule type="cellIs" dxfId="379" priority="169" operator="greaterThan">
      <formula>0.03</formula>
    </cfRule>
    <cfRule type="cellIs" dxfId="378" priority="170" stopIfTrue="1" operator="lessThan">
      <formula>-0.03</formula>
    </cfRule>
  </conditionalFormatting>
  <conditionalFormatting sqref="Y31">
    <cfRule type="cellIs" dxfId="377" priority="167" operator="greaterThan">
      <formula>0.03</formula>
    </cfRule>
    <cfRule type="cellIs" dxfId="376" priority="168" stopIfTrue="1" operator="lessThan">
      <formula>-0.03</formula>
    </cfRule>
  </conditionalFormatting>
  <conditionalFormatting sqref="W35">
    <cfRule type="cellIs" dxfId="375" priority="165" operator="greaterThan">
      <formula>0.03</formula>
    </cfRule>
    <cfRule type="cellIs" dxfId="374" priority="166" stopIfTrue="1" operator="lessThan">
      <formula>-0.03</formula>
    </cfRule>
  </conditionalFormatting>
  <conditionalFormatting sqref="X35">
    <cfRule type="cellIs" dxfId="373" priority="163" operator="greaterThan">
      <formula>0.03</formula>
    </cfRule>
    <cfRule type="cellIs" dxfId="372" priority="164" stopIfTrue="1" operator="lessThan">
      <formula>-0.03</formula>
    </cfRule>
  </conditionalFormatting>
  <conditionalFormatting sqref="Y35">
    <cfRule type="cellIs" dxfId="371" priority="161" operator="greaterThan">
      <formula>0.03</formula>
    </cfRule>
    <cfRule type="cellIs" dxfId="370" priority="162" stopIfTrue="1" operator="lessThan">
      <formula>-0.03</formula>
    </cfRule>
  </conditionalFormatting>
  <conditionalFormatting sqref="W39">
    <cfRule type="cellIs" dxfId="369" priority="159" operator="greaterThan">
      <formula>0.03</formula>
    </cfRule>
    <cfRule type="cellIs" dxfId="368" priority="160" stopIfTrue="1" operator="lessThan">
      <formula>-0.03</formula>
    </cfRule>
  </conditionalFormatting>
  <conditionalFormatting sqref="X39">
    <cfRule type="cellIs" dxfId="367" priority="157" operator="greaterThan">
      <formula>0.03</formula>
    </cfRule>
    <cfRule type="cellIs" dxfId="366" priority="158" stopIfTrue="1" operator="lessThan">
      <formula>-0.03</formula>
    </cfRule>
  </conditionalFormatting>
  <conditionalFormatting sqref="Y39">
    <cfRule type="cellIs" dxfId="365" priority="155" operator="greaterThan">
      <formula>0.03</formula>
    </cfRule>
    <cfRule type="cellIs" dxfId="364" priority="156" stopIfTrue="1" operator="lessThan">
      <formula>-0.03</formula>
    </cfRule>
  </conditionalFormatting>
  <conditionalFormatting sqref="W43">
    <cfRule type="cellIs" dxfId="363" priority="153" operator="greaterThan">
      <formula>0.03</formula>
    </cfRule>
    <cfRule type="cellIs" dxfId="362" priority="154" stopIfTrue="1" operator="lessThan">
      <formula>-0.03</formula>
    </cfRule>
  </conditionalFormatting>
  <conditionalFormatting sqref="X43">
    <cfRule type="cellIs" dxfId="361" priority="151" operator="greaterThan">
      <formula>0.03</formula>
    </cfRule>
    <cfRule type="cellIs" dxfId="360" priority="152" stopIfTrue="1" operator="lessThan">
      <formula>-0.03</formula>
    </cfRule>
  </conditionalFormatting>
  <conditionalFormatting sqref="Y43">
    <cfRule type="cellIs" dxfId="359" priority="149" operator="greaterThan">
      <formula>0.03</formula>
    </cfRule>
    <cfRule type="cellIs" dxfId="358" priority="150" stopIfTrue="1" operator="lessThan">
      <formula>-0.03</formula>
    </cfRule>
  </conditionalFormatting>
  <conditionalFormatting sqref="W47">
    <cfRule type="cellIs" dxfId="357" priority="147" operator="greaterThan">
      <formula>0.03</formula>
    </cfRule>
    <cfRule type="cellIs" dxfId="356" priority="148" stopIfTrue="1" operator="lessThan">
      <formula>-0.03</formula>
    </cfRule>
  </conditionalFormatting>
  <conditionalFormatting sqref="X47">
    <cfRule type="cellIs" dxfId="355" priority="145" operator="greaterThan">
      <formula>0.03</formula>
    </cfRule>
    <cfRule type="cellIs" dxfId="354" priority="146" stopIfTrue="1" operator="lessThan">
      <formula>-0.03</formula>
    </cfRule>
  </conditionalFormatting>
  <conditionalFormatting sqref="Y47">
    <cfRule type="cellIs" dxfId="353" priority="143" operator="greaterThan">
      <formula>0.03</formula>
    </cfRule>
    <cfRule type="cellIs" dxfId="352" priority="144" stopIfTrue="1" operator="lessThan">
      <formula>-0.03</formula>
    </cfRule>
  </conditionalFormatting>
  <conditionalFormatting sqref="W51">
    <cfRule type="cellIs" dxfId="351" priority="141" operator="greaterThan">
      <formula>0.03</formula>
    </cfRule>
    <cfRule type="cellIs" dxfId="350" priority="142" stopIfTrue="1" operator="lessThan">
      <formula>-0.03</formula>
    </cfRule>
  </conditionalFormatting>
  <conditionalFormatting sqref="X51">
    <cfRule type="cellIs" dxfId="349" priority="139" operator="greaterThan">
      <formula>0.03</formula>
    </cfRule>
    <cfRule type="cellIs" dxfId="348" priority="140" stopIfTrue="1" operator="lessThan">
      <formula>-0.03</formula>
    </cfRule>
  </conditionalFormatting>
  <conditionalFormatting sqref="Y51">
    <cfRule type="cellIs" dxfId="347" priority="137" operator="greaterThan">
      <formula>0.03</formula>
    </cfRule>
    <cfRule type="cellIs" dxfId="346" priority="138" stopIfTrue="1" operator="lessThan">
      <formula>-0.03</formula>
    </cfRule>
  </conditionalFormatting>
  <conditionalFormatting sqref="W55">
    <cfRule type="cellIs" dxfId="345" priority="135" operator="greaterThan">
      <formula>0.03</formula>
    </cfRule>
    <cfRule type="cellIs" dxfId="344" priority="136" stopIfTrue="1" operator="lessThan">
      <formula>-0.03</formula>
    </cfRule>
  </conditionalFormatting>
  <conditionalFormatting sqref="X55">
    <cfRule type="cellIs" dxfId="343" priority="133" operator="greaterThan">
      <formula>0.03</formula>
    </cfRule>
    <cfRule type="cellIs" dxfId="342" priority="134" stopIfTrue="1" operator="lessThan">
      <formula>-0.03</formula>
    </cfRule>
  </conditionalFormatting>
  <conditionalFormatting sqref="Y55">
    <cfRule type="cellIs" dxfId="341" priority="131" operator="greaterThan">
      <formula>0.03</formula>
    </cfRule>
    <cfRule type="cellIs" dxfId="340" priority="132" stopIfTrue="1" operator="lessThan">
      <formula>-0.03</formula>
    </cfRule>
  </conditionalFormatting>
  <conditionalFormatting sqref="W59">
    <cfRule type="cellIs" dxfId="339" priority="129" operator="greaterThan">
      <formula>0.03</formula>
    </cfRule>
    <cfRule type="cellIs" dxfId="338" priority="130" stopIfTrue="1" operator="lessThan">
      <formula>-0.03</formula>
    </cfRule>
  </conditionalFormatting>
  <conditionalFormatting sqref="X59">
    <cfRule type="cellIs" dxfId="337" priority="127" operator="greaterThan">
      <formula>0.03</formula>
    </cfRule>
    <cfRule type="cellIs" dxfId="336" priority="128" stopIfTrue="1" operator="lessThan">
      <formula>-0.03</formula>
    </cfRule>
  </conditionalFormatting>
  <conditionalFormatting sqref="Y59">
    <cfRule type="cellIs" dxfId="335" priority="125" operator="greaterThan">
      <formula>0.03</formula>
    </cfRule>
    <cfRule type="cellIs" dxfId="334" priority="126" stopIfTrue="1" operator="lessThan">
      <formula>-0.03</formula>
    </cfRule>
  </conditionalFormatting>
  <conditionalFormatting sqref="W63">
    <cfRule type="cellIs" dxfId="333" priority="123" operator="greaterThan">
      <formula>0.03</formula>
    </cfRule>
    <cfRule type="cellIs" dxfId="332" priority="124" stopIfTrue="1" operator="lessThan">
      <formula>-0.03</formula>
    </cfRule>
  </conditionalFormatting>
  <conditionalFormatting sqref="X63">
    <cfRule type="cellIs" dxfId="331" priority="121" operator="greaterThan">
      <formula>0.03</formula>
    </cfRule>
    <cfRule type="cellIs" dxfId="330" priority="122" stopIfTrue="1" operator="lessThan">
      <formula>-0.03</formula>
    </cfRule>
  </conditionalFormatting>
  <conditionalFormatting sqref="Y63">
    <cfRule type="cellIs" dxfId="329" priority="119" operator="greaterThan">
      <formula>0.03</formula>
    </cfRule>
    <cfRule type="cellIs" dxfId="328" priority="120" stopIfTrue="1" operator="lessThan">
      <formula>-0.03</formula>
    </cfRule>
  </conditionalFormatting>
  <conditionalFormatting sqref="W67">
    <cfRule type="cellIs" dxfId="327" priority="117" operator="greaterThan">
      <formula>0.03</formula>
    </cfRule>
    <cfRule type="cellIs" dxfId="326" priority="118" stopIfTrue="1" operator="lessThan">
      <formula>-0.03</formula>
    </cfRule>
  </conditionalFormatting>
  <conditionalFormatting sqref="X67">
    <cfRule type="cellIs" dxfId="325" priority="115" operator="greaterThan">
      <formula>0.03</formula>
    </cfRule>
    <cfRule type="cellIs" dxfId="324" priority="116" stopIfTrue="1" operator="lessThan">
      <formula>-0.03</formula>
    </cfRule>
  </conditionalFormatting>
  <conditionalFormatting sqref="Y67">
    <cfRule type="cellIs" dxfId="323" priority="113" operator="greaterThan">
      <formula>0.03</formula>
    </cfRule>
    <cfRule type="cellIs" dxfId="322" priority="114" stopIfTrue="1" operator="lessThan">
      <formula>-0.03</formula>
    </cfRule>
  </conditionalFormatting>
  <conditionalFormatting sqref="W71">
    <cfRule type="cellIs" dxfId="321" priority="111" operator="greaterThan">
      <formula>0.03</formula>
    </cfRule>
    <cfRule type="cellIs" dxfId="320" priority="112" stopIfTrue="1" operator="lessThan">
      <formula>-0.03</formula>
    </cfRule>
  </conditionalFormatting>
  <conditionalFormatting sqref="X71">
    <cfRule type="cellIs" dxfId="319" priority="109" operator="greaterThan">
      <formula>0.03</formula>
    </cfRule>
    <cfRule type="cellIs" dxfId="318" priority="110" stopIfTrue="1" operator="lessThan">
      <formula>-0.03</formula>
    </cfRule>
  </conditionalFormatting>
  <conditionalFormatting sqref="Y71">
    <cfRule type="cellIs" dxfId="317" priority="107" operator="greaterThan">
      <formula>0.03</formula>
    </cfRule>
    <cfRule type="cellIs" dxfId="316" priority="108" stopIfTrue="1" operator="lessThan">
      <formula>-0.03</formula>
    </cfRule>
  </conditionalFormatting>
  <conditionalFormatting sqref="W75">
    <cfRule type="cellIs" dxfId="315" priority="105" operator="greaterThan">
      <formula>0.03</formula>
    </cfRule>
    <cfRule type="cellIs" dxfId="314" priority="106" stopIfTrue="1" operator="lessThan">
      <formula>-0.03</formula>
    </cfRule>
  </conditionalFormatting>
  <conditionalFormatting sqref="X75">
    <cfRule type="cellIs" dxfId="313" priority="103" operator="greaterThan">
      <formula>0.03</formula>
    </cfRule>
    <cfRule type="cellIs" dxfId="312" priority="104" stopIfTrue="1" operator="lessThan">
      <formula>-0.03</formula>
    </cfRule>
  </conditionalFormatting>
  <conditionalFormatting sqref="Y75">
    <cfRule type="cellIs" dxfId="311" priority="101" operator="greaterThan">
      <formula>0.03</formula>
    </cfRule>
    <cfRule type="cellIs" dxfId="310" priority="102" stopIfTrue="1" operator="lessThan">
      <formula>-0.03</formula>
    </cfRule>
  </conditionalFormatting>
  <conditionalFormatting sqref="W79">
    <cfRule type="cellIs" dxfId="309" priority="99" operator="greaterThan">
      <formula>0.03</formula>
    </cfRule>
    <cfRule type="cellIs" dxfId="308" priority="100" stopIfTrue="1" operator="lessThan">
      <formula>-0.03</formula>
    </cfRule>
  </conditionalFormatting>
  <conditionalFormatting sqref="X79">
    <cfRule type="cellIs" dxfId="307" priority="97" operator="greaterThan">
      <formula>0.03</formula>
    </cfRule>
    <cfRule type="cellIs" dxfId="306" priority="98" stopIfTrue="1" operator="lessThan">
      <formula>-0.03</formula>
    </cfRule>
  </conditionalFormatting>
  <conditionalFormatting sqref="Y79">
    <cfRule type="cellIs" dxfId="305" priority="95" operator="greaterThan">
      <formula>0.03</formula>
    </cfRule>
    <cfRule type="cellIs" dxfId="304" priority="96" stopIfTrue="1" operator="lessThan">
      <formula>-0.03</formula>
    </cfRule>
  </conditionalFormatting>
  <conditionalFormatting sqref="T83:V98">
    <cfRule type="cellIs" dxfId="303" priority="49" operator="greaterThan">
      <formula>0.03</formula>
    </cfRule>
    <cfRule type="cellIs" dxfId="302" priority="50" stopIfTrue="1" operator="lessThan">
      <formula>-0.03</formula>
    </cfRule>
  </conditionalFormatting>
  <conditionalFormatting sqref="W6:X6">
    <cfRule type="cellIs" dxfId="301" priority="91" operator="greaterThan">
      <formula>0.03</formula>
    </cfRule>
    <cfRule type="cellIs" dxfId="300" priority="92" stopIfTrue="1" operator="lessThan">
      <formula>-0.03</formula>
    </cfRule>
  </conditionalFormatting>
  <conditionalFormatting sqref="W10:X10">
    <cfRule type="cellIs" dxfId="299" priority="89" operator="greaterThan">
      <formula>0.03</formula>
    </cfRule>
    <cfRule type="cellIs" dxfId="298" priority="90" stopIfTrue="1" operator="lessThan">
      <formula>-0.03</formula>
    </cfRule>
  </conditionalFormatting>
  <conditionalFormatting sqref="W14:X14">
    <cfRule type="cellIs" dxfId="297" priority="87" operator="greaterThan">
      <formula>0.03</formula>
    </cfRule>
    <cfRule type="cellIs" dxfId="296" priority="88" stopIfTrue="1" operator="lessThan">
      <formula>-0.03</formula>
    </cfRule>
  </conditionalFormatting>
  <conditionalFormatting sqref="W18:X18">
    <cfRule type="cellIs" dxfId="295" priority="85" operator="greaterThan">
      <formula>0.03</formula>
    </cfRule>
    <cfRule type="cellIs" dxfId="294" priority="86" stopIfTrue="1" operator="lessThan">
      <formula>-0.03</formula>
    </cfRule>
  </conditionalFormatting>
  <conditionalFormatting sqref="W22:X22">
    <cfRule type="cellIs" dxfId="293" priority="83" operator="greaterThan">
      <formula>0.03</formula>
    </cfRule>
    <cfRule type="cellIs" dxfId="292" priority="84" stopIfTrue="1" operator="lessThan">
      <formula>-0.03</formula>
    </cfRule>
  </conditionalFormatting>
  <conditionalFormatting sqref="W26:X26">
    <cfRule type="cellIs" dxfId="291" priority="81" operator="greaterThan">
      <formula>0.03</formula>
    </cfRule>
    <cfRule type="cellIs" dxfId="290" priority="82" stopIfTrue="1" operator="lessThan">
      <formula>-0.03</formula>
    </cfRule>
  </conditionalFormatting>
  <conditionalFormatting sqref="W30:X30">
    <cfRule type="cellIs" dxfId="289" priority="79" operator="greaterThan">
      <formula>0.03</formula>
    </cfRule>
    <cfRule type="cellIs" dxfId="288" priority="80" stopIfTrue="1" operator="lessThan">
      <formula>-0.03</formula>
    </cfRule>
  </conditionalFormatting>
  <conditionalFormatting sqref="W34:X34">
    <cfRule type="cellIs" dxfId="287" priority="77" operator="greaterThan">
      <formula>0.03</formula>
    </cfRule>
    <cfRule type="cellIs" dxfId="286" priority="78" stopIfTrue="1" operator="lessThan">
      <formula>-0.03</formula>
    </cfRule>
  </conditionalFormatting>
  <conditionalFormatting sqref="W38:X38">
    <cfRule type="cellIs" dxfId="285" priority="75" operator="greaterThan">
      <formula>0.03</formula>
    </cfRule>
    <cfRule type="cellIs" dxfId="284" priority="76" stopIfTrue="1" operator="lessThan">
      <formula>-0.03</formula>
    </cfRule>
  </conditionalFormatting>
  <conditionalFormatting sqref="W42:X42">
    <cfRule type="cellIs" dxfId="283" priority="73" operator="greaterThan">
      <formula>0.03</formula>
    </cfRule>
    <cfRule type="cellIs" dxfId="282" priority="74" stopIfTrue="1" operator="lessThan">
      <formula>-0.03</formula>
    </cfRule>
  </conditionalFormatting>
  <conditionalFormatting sqref="W46:X46">
    <cfRule type="cellIs" dxfId="281" priority="71" operator="greaterThan">
      <formula>0.03</formula>
    </cfRule>
    <cfRule type="cellIs" dxfId="280" priority="72" stopIfTrue="1" operator="lessThan">
      <formula>-0.03</formula>
    </cfRule>
  </conditionalFormatting>
  <conditionalFormatting sqref="W50:X50">
    <cfRule type="cellIs" dxfId="279" priority="69" operator="greaterThan">
      <formula>0.03</formula>
    </cfRule>
    <cfRule type="cellIs" dxfId="278" priority="70" stopIfTrue="1" operator="lessThan">
      <formula>-0.03</formula>
    </cfRule>
  </conditionalFormatting>
  <conditionalFormatting sqref="W54:X54">
    <cfRule type="cellIs" dxfId="277" priority="67" operator="greaterThan">
      <formula>0.03</formula>
    </cfRule>
    <cfRule type="cellIs" dxfId="276" priority="68" stopIfTrue="1" operator="lessThan">
      <formula>-0.03</formula>
    </cfRule>
  </conditionalFormatting>
  <conditionalFormatting sqref="W58:X58">
    <cfRule type="cellIs" dxfId="275" priority="65" operator="greaterThan">
      <formula>0.03</formula>
    </cfRule>
    <cfRule type="cellIs" dxfId="274" priority="66" stopIfTrue="1" operator="lessThan">
      <formula>-0.03</formula>
    </cfRule>
  </conditionalFormatting>
  <conditionalFormatting sqref="W62:X62">
    <cfRule type="cellIs" dxfId="273" priority="63" operator="greaterThan">
      <formula>0.03</formula>
    </cfRule>
    <cfRule type="cellIs" dxfId="272" priority="64" stopIfTrue="1" operator="lessThan">
      <formula>-0.03</formula>
    </cfRule>
  </conditionalFormatting>
  <conditionalFormatting sqref="W66:X66">
    <cfRule type="cellIs" dxfId="271" priority="61" operator="greaterThan">
      <formula>0.03</formula>
    </cfRule>
    <cfRule type="cellIs" dxfId="270" priority="62" stopIfTrue="1" operator="lessThan">
      <formula>-0.03</formula>
    </cfRule>
  </conditionalFormatting>
  <conditionalFormatting sqref="W70:X70">
    <cfRule type="cellIs" dxfId="269" priority="59" operator="greaterThan">
      <formula>0.03</formula>
    </cfRule>
    <cfRule type="cellIs" dxfId="268" priority="60" stopIfTrue="1" operator="lessThan">
      <formula>-0.03</formula>
    </cfRule>
  </conditionalFormatting>
  <conditionalFormatting sqref="W74:X74">
    <cfRule type="cellIs" dxfId="267" priority="57" operator="greaterThan">
      <formula>0.03</formula>
    </cfRule>
    <cfRule type="cellIs" dxfId="266" priority="58" stopIfTrue="1" operator="lessThan">
      <formula>-0.03</formula>
    </cfRule>
  </conditionalFormatting>
  <conditionalFormatting sqref="T99:V105">
    <cfRule type="cellIs" dxfId="265" priority="53" operator="greaterThan">
      <formula>0.03</formula>
    </cfRule>
    <cfRule type="cellIs" dxfId="264" priority="54" stopIfTrue="1" operator="lessThan">
      <formula>-0.03</formula>
    </cfRule>
  </conditionalFormatting>
  <conditionalFormatting sqref="W99:Y103 W105:Y105">
    <cfRule type="cellIs" dxfId="263" priority="51" operator="greaterThan">
      <formula>0.03</formula>
    </cfRule>
    <cfRule type="cellIs" dxfId="262" priority="52" stopIfTrue="1" operator="lessThan">
      <formula>-0.03</formula>
    </cfRule>
  </conditionalFormatting>
  <conditionalFormatting sqref="W83">
    <cfRule type="cellIs" dxfId="261" priority="47" operator="greaterThan">
      <formula>0.03</formula>
    </cfRule>
    <cfRule type="cellIs" dxfId="260" priority="48" stopIfTrue="1" operator="lessThan">
      <formula>-0.03</formula>
    </cfRule>
  </conditionalFormatting>
  <conditionalFormatting sqref="X83">
    <cfRule type="cellIs" dxfId="259" priority="45" operator="greaterThan">
      <formula>0.03</formula>
    </cfRule>
    <cfRule type="cellIs" dxfId="258" priority="46" stopIfTrue="1" operator="lessThan">
      <formula>-0.03</formula>
    </cfRule>
  </conditionalFormatting>
  <conditionalFormatting sqref="Y83">
    <cfRule type="cellIs" dxfId="257" priority="43" operator="greaterThan">
      <formula>0.03</formula>
    </cfRule>
    <cfRule type="cellIs" dxfId="256" priority="44" stopIfTrue="1" operator="lessThan">
      <formula>-0.03</formula>
    </cfRule>
  </conditionalFormatting>
  <conditionalFormatting sqref="W87">
    <cfRule type="cellIs" dxfId="255" priority="41" operator="greaterThan">
      <formula>0.03</formula>
    </cfRule>
    <cfRule type="cellIs" dxfId="254" priority="42" stopIfTrue="1" operator="lessThan">
      <formula>-0.03</formula>
    </cfRule>
  </conditionalFormatting>
  <conditionalFormatting sqref="X87">
    <cfRule type="cellIs" dxfId="253" priority="39" operator="greaterThan">
      <formula>0.03</formula>
    </cfRule>
    <cfRule type="cellIs" dxfId="252" priority="40" stopIfTrue="1" operator="lessThan">
      <formula>-0.03</formula>
    </cfRule>
  </conditionalFormatting>
  <conditionalFormatting sqref="Y87">
    <cfRule type="cellIs" dxfId="251" priority="37" operator="greaterThan">
      <formula>0.03</formula>
    </cfRule>
    <cfRule type="cellIs" dxfId="250" priority="38" stopIfTrue="1" operator="lessThan">
      <formula>-0.03</formula>
    </cfRule>
  </conditionalFormatting>
  <conditionalFormatting sqref="W91">
    <cfRule type="cellIs" dxfId="249" priority="35" operator="greaterThan">
      <formula>0.03</formula>
    </cfRule>
    <cfRule type="cellIs" dxfId="248" priority="36" stopIfTrue="1" operator="lessThan">
      <formula>-0.03</formula>
    </cfRule>
  </conditionalFormatting>
  <conditionalFormatting sqref="X91">
    <cfRule type="cellIs" dxfId="247" priority="33" operator="greaterThan">
      <formula>0.03</formula>
    </cfRule>
    <cfRule type="cellIs" dxfId="246" priority="34" stopIfTrue="1" operator="lessThan">
      <formula>-0.03</formula>
    </cfRule>
  </conditionalFormatting>
  <conditionalFormatting sqref="Y91">
    <cfRule type="cellIs" dxfId="245" priority="31" operator="greaterThan">
      <formula>0.03</formula>
    </cfRule>
    <cfRule type="cellIs" dxfId="244" priority="32" stopIfTrue="1" operator="lessThan">
      <formula>-0.03</formula>
    </cfRule>
  </conditionalFormatting>
  <conditionalFormatting sqref="W95">
    <cfRule type="cellIs" dxfId="243" priority="29" operator="greaterThan">
      <formula>0.03</formula>
    </cfRule>
    <cfRule type="cellIs" dxfId="242" priority="30" stopIfTrue="1" operator="lessThan">
      <formula>-0.03</formula>
    </cfRule>
  </conditionalFormatting>
  <conditionalFormatting sqref="X95">
    <cfRule type="cellIs" dxfId="241" priority="27" operator="greaterThan">
      <formula>0.03</formula>
    </cfRule>
    <cfRule type="cellIs" dxfId="240" priority="28" stopIfTrue="1" operator="lessThan">
      <formula>-0.03</formula>
    </cfRule>
  </conditionalFormatting>
  <conditionalFormatting sqref="Y95">
    <cfRule type="cellIs" dxfId="239" priority="25" operator="greaterThan">
      <formula>0.03</formula>
    </cfRule>
    <cfRule type="cellIs" dxfId="238" priority="26" stopIfTrue="1" operator="lessThan">
      <formula>-0.03</formula>
    </cfRule>
  </conditionalFormatting>
  <conditionalFormatting sqref="W86:X86">
    <cfRule type="cellIs" dxfId="237" priority="23" operator="greaterThan">
      <formula>0.03</formula>
    </cfRule>
    <cfRule type="cellIs" dxfId="236" priority="24" stopIfTrue="1" operator="lessThan">
      <formula>-0.03</formula>
    </cfRule>
  </conditionalFormatting>
  <conditionalFormatting sqref="W90:X90">
    <cfRule type="cellIs" dxfId="235" priority="21" operator="greaterThan">
      <formula>0.03</formula>
    </cfRule>
    <cfRule type="cellIs" dxfId="234" priority="22" stopIfTrue="1" operator="lessThan">
      <formula>-0.03</formula>
    </cfRule>
  </conditionalFormatting>
  <conditionalFormatting sqref="W94:X94">
    <cfRule type="cellIs" dxfId="233" priority="19" operator="greaterThan">
      <formula>0.03</formula>
    </cfRule>
    <cfRule type="cellIs" dxfId="232" priority="20" stopIfTrue="1" operator="lessThan">
      <formula>-0.03</formula>
    </cfRule>
  </conditionalFormatting>
  <conditionalFormatting sqref="W98:X98">
    <cfRule type="cellIs" dxfId="231" priority="17" operator="greaterThan">
      <formula>0.03</formula>
    </cfRule>
    <cfRule type="cellIs" dxfId="230" priority="18" stopIfTrue="1" operator="lessThan">
      <formula>-0.03</formula>
    </cfRule>
  </conditionalFormatting>
  <conditionalFormatting sqref="W104">
    <cfRule type="cellIs" dxfId="229" priority="15" operator="greaterThan">
      <formula>0.03</formula>
    </cfRule>
    <cfRule type="cellIs" dxfId="228" priority="16" stopIfTrue="1" operator="lessThan">
      <formula>-0.03</formula>
    </cfRule>
  </conditionalFormatting>
  <conditionalFormatting sqref="X104">
    <cfRule type="cellIs" dxfId="227" priority="13" operator="greaterThan">
      <formula>0.03</formula>
    </cfRule>
    <cfRule type="cellIs" dxfId="226" priority="14" stopIfTrue="1" operator="lessThan">
      <formula>-0.03</formula>
    </cfRule>
  </conditionalFormatting>
  <conditionalFormatting sqref="Y104">
    <cfRule type="cellIs" dxfId="225" priority="11" operator="greaterThan">
      <formula>0.03</formula>
    </cfRule>
    <cfRule type="cellIs" dxfId="224" priority="12" stopIfTrue="1" operator="lessThan">
      <formula>-0.03</formula>
    </cfRule>
  </conditionalFormatting>
  <conditionalFormatting sqref="T111:V112">
    <cfRule type="cellIs" dxfId="223" priority="9" operator="greaterThan">
      <formula>0.03</formula>
    </cfRule>
    <cfRule type="cellIs" dxfId="222" priority="10" stopIfTrue="1" operator="lessThan">
      <formula>-0.03</formula>
    </cfRule>
  </conditionalFormatting>
  <conditionalFormatting sqref="W112:Y112">
    <cfRule type="cellIs" dxfId="221" priority="7" operator="greaterThan">
      <formula>0.03</formula>
    </cfRule>
    <cfRule type="cellIs" dxfId="220" priority="8" stopIfTrue="1" operator="lessThan">
      <formula>-0.03</formula>
    </cfRule>
  </conditionalFormatting>
  <conditionalFormatting sqref="W111">
    <cfRule type="cellIs" dxfId="219" priority="5" operator="greaterThan">
      <formula>0.03</formula>
    </cfRule>
    <cfRule type="cellIs" dxfId="218" priority="6" stopIfTrue="1" operator="lessThan">
      <formula>-0.03</formula>
    </cfRule>
  </conditionalFormatting>
  <conditionalFormatting sqref="X111">
    <cfRule type="cellIs" dxfId="217" priority="3" operator="greaterThan">
      <formula>0.03</formula>
    </cfRule>
    <cfRule type="cellIs" dxfId="216" priority="4" stopIfTrue="1" operator="lessThan">
      <formula>-0.03</formula>
    </cfRule>
  </conditionalFormatting>
  <conditionalFormatting sqref="Y111">
    <cfRule type="cellIs" dxfId="215" priority="1" operator="greaterThan">
      <formula>0.03</formula>
    </cfRule>
    <cfRule type="cellIs" dxfId="214" priority="2" stopIfTrue="1" operator="lessThan">
      <formula>-0.03</formula>
    </cfRule>
  </conditionalFormatting>
  <pageMargins left="0.75" right="0.75" top="1" bottom="1" header="0.5" footer="0.5"/>
  <pageSetup paperSize="9" orientation="portrait" horizontalDpi="4294967292" verticalDpi="4294967292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Y114"/>
  <sheetViews>
    <sheetView workbookViewId="0">
      <selection activeCell="R3" sqref="R3:R18"/>
    </sheetView>
  </sheetViews>
  <sheetFormatPr defaultColWidth="10.77734375" defaultRowHeight="12" x14ac:dyDescent="0.2"/>
  <cols>
    <col min="1" max="1" width="8.33203125" style="1" customWidth="1"/>
    <col min="2" max="2" width="14.77734375" style="1" customWidth="1"/>
    <col min="3" max="3" width="7.77734375" style="1" customWidth="1"/>
    <col min="4" max="4" width="9.77734375" style="1" customWidth="1"/>
    <col min="5" max="7" width="6.77734375" style="1" customWidth="1"/>
    <col min="8" max="10" width="8.77734375" style="1" customWidth="1"/>
    <col min="11" max="11" width="2.77734375" style="1" customWidth="1"/>
    <col min="12" max="12" width="9.77734375" style="1" customWidth="1"/>
    <col min="13" max="15" width="6.77734375" style="1" customWidth="1"/>
    <col min="16" max="18" width="8.77734375" style="1" customWidth="1"/>
    <col min="19" max="19" width="2.77734375" style="1" customWidth="1"/>
    <col min="20" max="25" width="8.77734375" style="1" customWidth="1"/>
    <col min="26" max="16384" width="10.77734375" style="1"/>
  </cols>
  <sheetData>
    <row r="1" spans="1:25" ht="12.75" thickBot="1" x14ac:dyDescent="0.25">
      <c r="D1" s="162" t="s">
        <v>32</v>
      </c>
      <c r="E1" s="163"/>
      <c r="F1" s="163"/>
      <c r="G1" s="163"/>
      <c r="H1" s="163"/>
      <c r="I1" s="163"/>
      <c r="J1" s="164"/>
      <c r="L1" s="162" t="s">
        <v>33</v>
      </c>
      <c r="M1" s="163"/>
      <c r="N1" s="163"/>
      <c r="O1" s="163"/>
      <c r="P1" s="163"/>
      <c r="Q1" s="163"/>
      <c r="R1" s="164"/>
      <c r="S1" s="2"/>
      <c r="T1" s="162" t="s">
        <v>47</v>
      </c>
      <c r="U1" s="163"/>
      <c r="V1" s="164"/>
      <c r="W1" s="162" t="s">
        <v>48</v>
      </c>
      <c r="X1" s="163"/>
      <c r="Y1" s="164"/>
    </row>
    <row r="2" spans="1:25" ht="12.75" thickBot="1" x14ac:dyDescent="0.25">
      <c r="A2" s="3"/>
      <c r="B2" s="4"/>
      <c r="C2" s="5" t="s">
        <v>1</v>
      </c>
      <c r="D2" s="6" t="s">
        <v>34</v>
      </c>
      <c r="E2" s="7" t="s">
        <v>35</v>
      </c>
      <c r="F2" s="7" t="s">
        <v>36</v>
      </c>
      <c r="G2" s="7" t="s">
        <v>37</v>
      </c>
      <c r="H2" s="7" t="s">
        <v>38</v>
      </c>
      <c r="I2" s="7" t="s">
        <v>39</v>
      </c>
      <c r="J2" s="8" t="s">
        <v>40</v>
      </c>
      <c r="K2" s="2"/>
      <c r="L2" s="6" t="s">
        <v>34</v>
      </c>
      <c r="M2" s="7" t="s">
        <v>35</v>
      </c>
      <c r="N2" s="7" t="s">
        <v>36</v>
      </c>
      <c r="O2" s="7" t="s">
        <v>37</v>
      </c>
      <c r="P2" s="7" t="s">
        <v>38</v>
      </c>
      <c r="Q2" s="7" t="s">
        <v>39</v>
      </c>
      <c r="R2" s="8" t="s">
        <v>40</v>
      </c>
      <c r="S2" s="9"/>
      <c r="T2" s="6" t="s">
        <v>41</v>
      </c>
      <c r="U2" s="7" t="s">
        <v>42</v>
      </c>
      <c r="V2" s="8" t="s">
        <v>43</v>
      </c>
      <c r="W2" s="10" t="s">
        <v>41</v>
      </c>
      <c r="X2" s="11" t="s">
        <v>42</v>
      </c>
      <c r="Y2" s="12" t="s">
        <v>43</v>
      </c>
    </row>
    <row r="3" spans="1:25" x14ac:dyDescent="0.2">
      <c r="A3" s="63" t="s">
        <v>2</v>
      </c>
      <c r="B3" s="63" t="s">
        <v>3</v>
      </c>
      <c r="C3" s="63">
        <v>22</v>
      </c>
      <c r="D3" s="64"/>
      <c r="E3" s="65"/>
      <c r="F3" s="65"/>
      <c r="G3" s="65"/>
      <c r="H3" s="65"/>
      <c r="I3" s="65"/>
      <c r="J3" s="66"/>
      <c r="K3" s="67"/>
      <c r="L3" s="86"/>
      <c r="M3" s="87"/>
      <c r="N3" s="87"/>
      <c r="O3" s="87"/>
      <c r="P3" s="87"/>
      <c r="Q3" s="87"/>
      <c r="R3" s="88"/>
      <c r="S3" s="95"/>
      <c r="T3" s="96"/>
      <c r="U3" s="97"/>
      <c r="V3" s="98"/>
      <c r="W3" s="96"/>
      <c r="X3" s="97"/>
      <c r="Y3" s="98"/>
    </row>
    <row r="4" spans="1:25" x14ac:dyDescent="0.2">
      <c r="A4" s="72" t="s">
        <v>4</v>
      </c>
      <c r="B4" s="72"/>
      <c r="C4" s="72">
        <v>27</v>
      </c>
      <c r="D4" s="73"/>
      <c r="E4" s="74"/>
      <c r="F4" s="74"/>
      <c r="G4" s="74"/>
      <c r="H4" s="74"/>
      <c r="I4" s="74"/>
      <c r="J4" s="75"/>
      <c r="K4" s="67"/>
      <c r="L4" s="89"/>
      <c r="M4" s="90"/>
      <c r="N4" s="90"/>
      <c r="O4" s="90"/>
      <c r="P4" s="90"/>
      <c r="Q4" s="90"/>
      <c r="R4" s="91"/>
      <c r="S4" s="95"/>
      <c r="T4" s="99"/>
      <c r="U4" s="100"/>
      <c r="V4" s="101"/>
      <c r="W4" s="99"/>
      <c r="X4" s="100"/>
      <c r="Y4" s="101"/>
    </row>
    <row r="5" spans="1:25" x14ac:dyDescent="0.2">
      <c r="A5" s="72"/>
      <c r="B5" s="72"/>
      <c r="C5" s="72">
        <v>32</v>
      </c>
      <c r="D5" s="73"/>
      <c r="E5" s="74"/>
      <c r="F5" s="74"/>
      <c r="G5" s="74"/>
      <c r="H5" s="74"/>
      <c r="I5" s="74"/>
      <c r="J5" s="75"/>
      <c r="K5" s="67"/>
      <c r="L5" s="89"/>
      <c r="M5" s="90"/>
      <c r="N5" s="90"/>
      <c r="O5" s="90"/>
      <c r="P5" s="90"/>
      <c r="Q5" s="90"/>
      <c r="R5" s="91"/>
      <c r="S5" s="95"/>
      <c r="T5" s="99"/>
      <c r="U5" s="100"/>
      <c r="V5" s="101"/>
      <c r="W5" s="99"/>
      <c r="X5" s="100"/>
      <c r="Y5" s="101"/>
    </row>
    <row r="6" spans="1:25" ht="12.75" thickBot="1" x14ac:dyDescent="0.25">
      <c r="A6" s="72"/>
      <c r="B6" s="79"/>
      <c r="C6" s="79">
        <v>37</v>
      </c>
      <c r="D6" s="80"/>
      <c r="E6" s="81"/>
      <c r="F6" s="81"/>
      <c r="G6" s="81"/>
      <c r="H6" s="81"/>
      <c r="I6" s="81"/>
      <c r="J6" s="82"/>
      <c r="K6" s="67"/>
      <c r="L6" s="92"/>
      <c r="M6" s="93"/>
      <c r="N6" s="93"/>
      <c r="O6" s="93"/>
      <c r="P6" s="93"/>
      <c r="Q6" s="93"/>
      <c r="R6" s="94"/>
      <c r="S6" s="95"/>
      <c r="T6" s="102"/>
      <c r="U6" s="103"/>
      <c r="V6" s="104"/>
      <c r="W6" s="102"/>
      <c r="X6" s="103"/>
      <c r="Y6" s="104"/>
    </row>
    <row r="7" spans="1:25" x14ac:dyDescent="0.2">
      <c r="A7" s="72"/>
      <c r="B7" s="63" t="s">
        <v>5</v>
      </c>
      <c r="C7" s="63">
        <v>22</v>
      </c>
      <c r="D7" s="64"/>
      <c r="E7" s="65"/>
      <c r="F7" s="65"/>
      <c r="G7" s="65"/>
      <c r="H7" s="65"/>
      <c r="I7" s="65"/>
      <c r="J7" s="66"/>
      <c r="K7" s="67"/>
      <c r="L7" s="86"/>
      <c r="M7" s="87"/>
      <c r="N7" s="87"/>
      <c r="O7" s="87"/>
      <c r="P7" s="87"/>
      <c r="Q7" s="87"/>
      <c r="R7" s="88"/>
      <c r="S7" s="95"/>
      <c r="T7" s="96"/>
      <c r="U7" s="97"/>
      <c r="V7" s="97"/>
      <c r="W7" s="105"/>
      <c r="X7" s="106"/>
      <c r="Y7" s="107"/>
    </row>
    <row r="8" spans="1:25" x14ac:dyDescent="0.2">
      <c r="A8" s="72"/>
      <c r="B8" s="72"/>
      <c r="C8" s="72">
        <v>27</v>
      </c>
      <c r="D8" s="73"/>
      <c r="E8" s="74"/>
      <c r="F8" s="74"/>
      <c r="G8" s="74"/>
      <c r="H8" s="74"/>
      <c r="I8" s="74"/>
      <c r="J8" s="75"/>
      <c r="K8" s="67"/>
      <c r="L8" s="89"/>
      <c r="M8" s="90"/>
      <c r="N8" s="90"/>
      <c r="O8" s="90"/>
      <c r="P8" s="90"/>
      <c r="Q8" s="90"/>
      <c r="R8" s="91"/>
      <c r="S8" s="95"/>
      <c r="T8" s="99"/>
      <c r="U8" s="100"/>
      <c r="V8" s="100"/>
      <c r="W8" s="99"/>
      <c r="X8" s="100"/>
      <c r="Y8" s="101"/>
    </row>
    <row r="9" spans="1:25" x14ac:dyDescent="0.2">
      <c r="A9" s="72"/>
      <c r="B9" s="72"/>
      <c r="C9" s="72">
        <v>32</v>
      </c>
      <c r="D9" s="73"/>
      <c r="E9" s="74"/>
      <c r="F9" s="74"/>
      <c r="G9" s="74"/>
      <c r="H9" s="74"/>
      <c r="I9" s="74"/>
      <c r="J9" s="75"/>
      <c r="K9" s="67"/>
      <c r="L9" s="89"/>
      <c r="M9" s="90"/>
      <c r="N9" s="90"/>
      <c r="O9" s="90"/>
      <c r="P9" s="90"/>
      <c r="Q9" s="90"/>
      <c r="R9" s="91"/>
      <c r="S9" s="95"/>
      <c r="T9" s="99"/>
      <c r="U9" s="108"/>
      <c r="V9" s="100"/>
      <c r="W9" s="99"/>
      <c r="X9" s="100"/>
      <c r="Y9" s="101"/>
    </row>
    <row r="10" spans="1:25" ht="12.75" thickBot="1" x14ac:dyDescent="0.25">
      <c r="A10" s="72"/>
      <c r="B10" s="79"/>
      <c r="C10" s="79">
        <v>37</v>
      </c>
      <c r="D10" s="80"/>
      <c r="E10" s="81"/>
      <c r="F10" s="81"/>
      <c r="G10" s="81"/>
      <c r="H10" s="81"/>
      <c r="I10" s="81"/>
      <c r="J10" s="82"/>
      <c r="K10" s="67"/>
      <c r="L10" s="92"/>
      <c r="M10" s="93"/>
      <c r="N10" s="93"/>
      <c r="O10" s="93"/>
      <c r="P10" s="93"/>
      <c r="Q10" s="93"/>
      <c r="R10" s="94"/>
      <c r="S10" s="95"/>
      <c r="T10" s="102"/>
      <c r="U10" s="103"/>
      <c r="V10" s="103"/>
      <c r="W10" s="102"/>
      <c r="X10" s="103"/>
      <c r="Y10" s="104"/>
    </row>
    <row r="11" spans="1:25" x14ac:dyDescent="0.2">
      <c r="A11" s="72"/>
      <c r="B11" s="63" t="s">
        <v>0</v>
      </c>
      <c r="C11" s="63">
        <v>22</v>
      </c>
      <c r="D11" s="64"/>
      <c r="E11" s="65"/>
      <c r="F11" s="65"/>
      <c r="G11" s="65"/>
      <c r="H11" s="65"/>
      <c r="I11" s="65"/>
      <c r="J11" s="66"/>
      <c r="K11" s="67"/>
      <c r="L11" s="86"/>
      <c r="M11" s="87"/>
      <c r="N11" s="87"/>
      <c r="O11" s="87"/>
      <c r="P11" s="87"/>
      <c r="Q11" s="87"/>
      <c r="R11" s="88"/>
      <c r="S11" s="95"/>
      <c r="T11" s="96"/>
      <c r="U11" s="97"/>
      <c r="V11" s="97"/>
      <c r="W11" s="105"/>
      <c r="X11" s="106"/>
      <c r="Y11" s="107"/>
    </row>
    <row r="12" spans="1:25" x14ac:dyDescent="0.2">
      <c r="A12" s="72"/>
      <c r="B12" s="72"/>
      <c r="C12" s="72">
        <v>27</v>
      </c>
      <c r="D12" s="73"/>
      <c r="E12" s="74"/>
      <c r="F12" s="74"/>
      <c r="G12" s="74"/>
      <c r="H12" s="74"/>
      <c r="I12" s="74"/>
      <c r="J12" s="75"/>
      <c r="K12" s="67"/>
      <c r="L12" s="89"/>
      <c r="M12" s="90"/>
      <c r="N12" s="90"/>
      <c r="O12" s="90"/>
      <c r="P12" s="90"/>
      <c r="Q12" s="90"/>
      <c r="R12" s="91"/>
      <c r="S12" s="95"/>
      <c r="T12" s="99"/>
      <c r="U12" s="100"/>
      <c r="V12" s="100"/>
      <c r="W12" s="99"/>
      <c r="X12" s="100"/>
      <c r="Y12" s="101"/>
    </row>
    <row r="13" spans="1:25" x14ac:dyDescent="0.2">
      <c r="A13" s="72"/>
      <c r="B13" s="72"/>
      <c r="C13" s="72">
        <v>32</v>
      </c>
      <c r="D13" s="73"/>
      <c r="E13" s="74"/>
      <c r="F13" s="74"/>
      <c r="G13" s="74"/>
      <c r="H13" s="74"/>
      <c r="I13" s="74"/>
      <c r="J13" s="75"/>
      <c r="K13" s="67"/>
      <c r="L13" s="89"/>
      <c r="M13" s="90"/>
      <c r="N13" s="90"/>
      <c r="O13" s="90"/>
      <c r="P13" s="90"/>
      <c r="Q13" s="90"/>
      <c r="R13" s="91"/>
      <c r="S13" s="95"/>
      <c r="T13" s="99"/>
      <c r="U13" s="100"/>
      <c r="V13" s="100"/>
      <c r="W13" s="99"/>
      <c r="X13" s="100"/>
      <c r="Y13" s="101"/>
    </row>
    <row r="14" spans="1:25" ht="12.75" thickBot="1" x14ac:dyDescent="0.25">
      <c r="A14" s="72"/>
      <c r="B14" s="79"/>
      <c r="C14" s="79">
        <v>37</v>
      </c>
      <c r="D14" s="80"/>
      <c r="E14" s="81"/>
      <c r="F14" s="81"/>
      <c r="G14" s="81"/>
      <c r="H14" s="81"/>
      <c r="I14" s="81"/>
      <c r="J14" s="82"/>
      <c r="K14" s="67"/>
      <c r="L14" s="92"/>
      <c r="M14" s="93"/>
      <c r="N14" s="93"/>
      <c r="O14" s="93"/>
      <c r="P14" s="93"/>
      <c r="Q14" s="93"/>
      <c r="R14" s="94"/>
      <c r="S14" s="95"/>
      <c r="T14" s="102"/>
      <c r="U14" s="103"/>
      <c r="V14" s="103"/>
      <c r="W14" s="102"/>
      <c r="X14" s="103"/>
      <c r="Y14" s="104"/>
    </row>
    <row r="15" spans="1:25" x14ac:dyDescent="0.2">
      <c r="A15" s="72"/>
      <c r="B15" s="63" t="s">
        <v>6</v>
      </c>
      <c r="C15" s="63">
        <v>22</v>
      </c>
      <c r="D15" s="64"/>
      <c r="E15" s="65"/>
      <c r="F15" s="65"/>
      <c r="G15" s="65"/>
      <c r="H15" s="65"/>
      <c r="I15" s="65"/>
      <c r="J15" s="66"/>
      <c r="K15" s="67"/>
      <c r="L15" s="86"/>
      <c r="M15" s="87"/>
      <c r="N15" s="87"/>
      <c r="O15" s="87"/>
      <c r="P15" s="87"/>
      <c r="Q15" s="87"/>
      <c r="R15" s="88"/>
      <c r="S15" s="95"/>
      <c r="T15" s="96"/>
      <c r="U15" s="97"/>
      <c r="V15" s="97"/>
      <c r="W15" s="105"/>
      <c r="X15" s="106"/>
      <c r="Y15" s="107"/>
    </row>
    <row r="16" spans="1:25" x14ac:dyDescent="0.2">
      <c r="A16" s="72"/>
      <c r="B16" s="72"/>
      <c r="C16" s="72">
        <v>27</v>
      </c>
      <c r="D16" s="73"/>
      <c r="E16" s="74"/>
      <c r="F16" s="74"/>
      <c r="G16" s="74"/>
      <c r="H16" s="74"/>
      <c r="I16" s="74"/>
      <c r="J16" s="75"/>
      <c r="K16" s="67"/>
      <c r="L16" s="89"/>
      <c r="M16" s="90"/>
      <c r="N16" s="90"/>
      <c r="O16" s="90"/>
      <c r="P16" s="90"/>
      <c r="Q16" s="90"/>
      <c r="R16" s="91"/>
      <c r="S16" s="95"/>
      <c r="T16" s="99"/>
      <c r="U16" s="100"/>
      <c r="V16" s="100"/>
      <c r="W16" s="99"/>
      <c r="X16" s="100"/>
      <c r="Y16" s="101"/>
    </row>
    <row r="17" spans="1:25" x14ac:dyDescent="0.2">
      <c r="A17" s="72"/>
      <c r="B17" s="72"/>
      <c r="C17" s="72">
        <v>32</v>
      </c>
      <c r="D17" s="73"/>
      <c r="E17" s="74"/>
      <c r="F17" s="74"/>
      <c r="G17" s="74"/>
      <c r="H17" s="74"/>
      <c r="I17" s="74"/>
      <c r="J17" s="75"/>
      <c r="K17" s="67"/>
      <c r="L17" s="89"/>
      <c r="M17" s="90"/>
      <c r="N17" s="90"/>
      <c r="O17" s="90"/>
      <c r="P17" s="90"/>
      <c r="Q17" s="90"/>
      <c r="R17" s="91"/>
      <c r="S17" s="95"/>
      <c r="T17" s="99"/>
      <c r="U17" s="100"/>
      <c r="V17" s="100"/>
      <c r="W17" s="99"/>
      <c r="X17" s="100"/>
      <c r="Y17" s="101"/>
    </row>
    <row r="18" spans="1:25" ht="12.75" thickBot="1" x14ac:dyDescent="0.25">
      <c r="A18" s="79"/>
      <c r="B18" s="79"/>
      <c r="C18" s="79">
        <v>37</v>
      </c>
      <c r="D18" s="80"/>
      <c r="E18" s="81"/>
      <c r="F18" s="81"/>
      <c r="G18" s="81"/>
      <c r="H18" s="81"/>
      <c r="I18" s="81"/>
      <c r="J18" s="82"/>
      <c r="K18" s="67"/>
      <c r="L18" s="92"/>
      <c r="M18" s="93"/>
      <c r="N18" s="93"/>
      <c r="O18" s="93"/>
      <c r="P18" s="93"/>
      <c r="Q18" s="93"/>
      <c r="R18" s="94"/>
      <c r="S18" s="95"/>
      <c r="T18" s="102"/>
      <c r="U18" s="103"/>
      <c r="V18" s="103"/>
      <c r="W18" s="102"/>
      <c r="X18" s="103"/>
      <c r="Y18" s="104"/>
    </row>
    <row r="19" spans="1:25" x14ac:dyDescent="0.2">
      <c r="A19" s="63" t="s">
        <v>7</v>
      </c>
      <c r="B19" s="63" t="s">
        <v>8</v>
      </c>
      <c r="C19" s="63">
        <v>22</v>
      </c>
      <c r="D19" s="14"/>
      <c r="E19" s="15"/>
      <c r="F19" s="15"/>
      <c r="G19" s="15"/>
      <c r="H19" s="15"/>
      <c r="I19" s="15"/>
      <c r="J19" s="16">
        <f t="shared" ref="J19:J67" si="0">H19/3600</f>
        <v>0</v>
      </c>
      <c r="L19" s="14"/>
      <c r="M19" s="15"/>
      <c r="N19" s="15"/>
      <c r="O19" s="15"/>
      <c r="P19" s="15"/>
      <c r="Q19" s="15"/>
      <c r="R19" s="16">
        <f t="shared" ref="R19:R67" si="1">P19/3600</f>
        <v>0</v>
      </c>
      <c r="S19" s="20"/>
      <c r="T19" s="21" t="e">
        <f>bdrate($D19:$D22,E19:E22,$L19:$L22,M19:M22)</f>
        <v>#VALUE!</v>
      </c>
      <c r="U19" s="22" t="e">
        <f>bdrate($D19:$D22,F19:F22,$L19:$L22,N19:N22)</f>
        <v>#VALUE!</v>
      </c>
      <c r="V19" s="22" t="e">
        <f>bdrate($D19:$D22,G19:G22,$L19:$L22,O19:O22)</f>
        <v>#VALUE!</v>
      </c>
      <c r="W19" s="44" t="e">
        <f>bdrateOld($D19:$D22,E19:E22,$L19:$L22,M19:M22)</f>
        <v>#VALUE!</v>
      </c>
      <c r="X19" s="45" t="e">
        <f>bdrateOld($D19:$D22,F19:F22,$L19:$L22,N19:N22)</f>
        <v>#VALUE!</v>
      </c>
      <c r="Y19" s="46" t="e">
        <f>bdrateOld($D19:$D22,G19:G22,$L19:$L22,O19:O22)</f>
        <v>#VALUE!</v>
      </c>
    </row>
    <row r="20" spans="1:25" x14ac:dyDescent="0.2">
      <c r="A20" s="72" t="s">
        <v>9</v>
      </c>
      <c r="B20" s="72"/>
      <c r="C20" s="72">
        <v>27</v>
      </c>
      <c r="D20" s="25"/>
      <c r="E20" s="26"/>
      <c r="F20" s="26"/>
      <c r="G20" s="26"/>
      <c r="H20" s="26"/>
      <c r="I20" s="26"/>
      <c r="J20" s="27">
        <f t="shared" si="0"/>
        <v>0</v>
      </c>
      <c r="L20" s="25"/>
      <c r="M20" s="26"/>
      <c r="N20" s="26"/>
      <c r="O20" s="26"/>
      <c r="P20" s="26"/>
      <c r="Q20" s="26"/>
      <c r="R20" s="27">
        <f t="shared" si="1"/>
        <v>0</v>
      </c>
      <c r="S20" s="20"/>
      <c r="T20" s="31"/>
      <c r="U20" s="32"/>
      <c r="V20" s="32"/>
      <c r="W20" s="31"/>
      <c r="X20" s="32"/>
      <c r="Y20" s="33"/>
    </row>
    <row r="21" spans="1:25" x14ac:dyDescent="0.2">
      <c r="A21" s="72"/>
      <c r="B21" s="72"/>
      <c r="C21" s="72">
        <v>32</v>
      </c>
      <c r="D21" s="25"/>
      <c r="E21" s="26"/>
      <c r="F21" s="26"/>
      <c r="G21" s="26"/>
      <c r="H21" s="26"/>
      <c r="I21" s="26"/>
      <c r="J21" s="27">
        <f t="shared" si="0"/>
        <v>0</v>
      </c>
      <c r="L21" s="25"/>
      <c r="M21" s="26"/>
      <c r="N21" s="26"/>
      <c r="O21" s="26"/>
      <c r="P21" s="26"/>
      <c r="Q21" s="26"/>
      <c r="R21" s="27">
        <f t="shared" si="1"/>
        <v>0</v>
      </c>
      <c r="S21" s="20"/>
      <c r="T21" s="31"/>
      <c r="U21" s="32"/>
      <c r="V21" s="32"/>
      <c r="W21" s="31"/>
      <c r="X21" s="32"/>
      <c r="Y21" s="33"/>
    </row>
    <row r="22" spans="1:25" ht="12.75" thickBot="1" x14ac:dyDescent="0.25">
      <c r="A22" s="72"/>
      <c r="B22" s="79"/>
      <c r="C22" s="79">
        <v>37</v>
      </c>
      <c r="D22" s="35"/>
      <c r="E22" s="36"/>
      <c r="F22" s="36"/>
      <c r="G22" s="36"/>
      <c r="H22" s="36"/>
      <c r="I22" s="36"/>
      <c r="J22" s="37">
        <f t="shared" si="0"/>
        <v>0</v>
      </c>
      <c r="L22" s="35"/>
      <c r="M22" s="36"/>
      <c r="N22" s="36"/>
      <c r="O22" s="36"/>
      <c r="P22" s="36"/>
      <c r="Q22" s="36"/>
      <c r="R22" s="37">
        <f t="shared" si="1"/>
        <v>0</v>
      </c>
      <c r="S22" s="20"/>
      <c r="T22" s="41"/>
      <c r="U22" s="42"/>
      <c r="V22" s="42"/>
      <c r="W22" s="41"/>
      <c r="X22" s="42"/>
      <c r="Y22" s="43"/>
    </row>
    <row r="23" spans="1:25" x14ac:dyDescent="0.2">
      <c r="A23" s="72"/>
      <c r="B23" s="63" t="s">
        <v>10</v>
      </c>
      <c r="C23" s="63">
        <v>22</v>
      </c>
      <c r="D23" s="14"/>
      <c r="E23" s="15"/>
      <c r="F23" s="15"/>
      <c r="G23" s="15"/>
      <c r="H23" s="15"/>
      <c r="I23" s="15"/>
      <c r="J23" s="16">
        <f t="shared" si="0"/>
        <v>0</v>
      </c>
      <c r="L23" s="14"/>
      <c r="M23" s="15"/>
      <c r="N23" s="15"/>
      <c r="O23" s="15"/>
      <c r="P23" s="15"/>
      <c r="Q23" s="15"/>
      <c r="R23" s="16">
        <f t="shared" si="1"/>
        <v>0</v>
      </c>
      <c r="S23" s="20"/>
      <c r="T23" s="21" t="e">
        <f>bdrate($D23:$D26,E23:E26,$L23:$L26,M23:M26)</f>
        <v>#VALUE!</v>
      </c>
      <c r="U23" s="22" t="e">
        <f>bdrate($D23:$D26,F23:F26,$L23:$L26,N23:N26)</f>
        <v>#VALUE!</v>
      </c>
      <c r="V23" s="22" t="e">
        <f>bdrate($D23:$D26,G23:G26,$L23:$L26,O23:O26)</f>
        <v>#VALUE!</v>
      </c>
      <c r="W23" s="44" t="e">
        <f>bdrateOld($D23:$D26,E23:E26,$L23:$L26,M23:M26)</f>
        <v>#VALUE!</v>
      </c>
      <c r="X23" s="45" t="e">
        <f>bdrateOld($D23:$D26,F23:F26,$L23:$L26,N23:N26)</f>
        <v>#VALUE!</v>
      </c>
      <c r="Y23" s="46" t="e">
        <f>bdrateOld($D23:$D26,G23:G26,$L23:$L26,O23:O26)</f>
        <v>#VALUE!</v>
      </c>
    </row>
    <row r="24" spans="1:25" x14ac:dyDescent="0.2">
      <c r="A24" s="72"/>
      <c r="B24" s="72"/>
      <c r="C24" s="72">
        <v>27</v>
      </c>
      <c r="D24" s="25"/>
      <c r="E24" s="26"/>
      <c r="F24" s="26"/>
      <c r="G24" s="26"/>
      <c r="H24" s="26"/>
      <c r="I24" s="26"/>
      <c r="J24" s="27">
        <f t="shared" si="0"/>
        <v>0</v>
      </c>
      <c r="L24" s="25"/>
      <c r="M24" s="26"/>
      <c r="N24" s="26"/>
      <c r="O24" s="26"/>
      <c r="P24" s="26"/>
      <c r="Q24" s="26"/>
      <c r="R24" s="27">
        <f t="shared" si="1"/>
        <v>0</v>
      </c>
      <c r="S24" s="20"/>
      <c r="T24" s="31"/>
      <c r="U24" s="32"/>
      <c r="V24" s="32"/>
      <c r="W24" s="31"/>
      <c r="X24" s="32"/>
      <c r="Y24" s="33"/>
    </row>
    <row r="25" spans="1:25" x14ac:dyDescent="0.2">
      <c r="A25" s="72"/>
      <c r="B25" s="72"/>
      <c r="C25" s="72">
        <v>32</v>
      </c>
      <c r="D25" s="25"/>
      <c r="E25" s="26"/>
      <c r="F25" s="26"/>
      <c r="G25" s="26"/>
      <c r="H25" s="26"/>
      <c r="I25" s="26"/>
      <c r="J25" s="27">
        <f t="shared" si="0"/>
        <v>0</v>
      </c>
      <c r="L25" s="25"/>
      <c r="M25" s="26"/>
      <c r="N25" s="26"/>
      <c r="O25" s="26"/>
      <c r="P25" s="26"/>
      <c r="Q25" s="26"/>
      <c r="R25" s="27">
        <f t="shared" si="1"/>
        <v>0</v>
      </c>
      <c r="S25" s="20"/>
      <c r="T25" s="31"/>
      <c r="U25" s="32"/>
      <c r="V25" s="32"/>
      <c r="W25" s="31"/>
      <c r="X25" s="32"/>
      <c r="Y25" s="33"/>
    </row>
    <row r="26" spans="1:25" ht="12.75" thickBot="1" x14ac:dyDescent="0.25">
      <c r="A26" s="72"/>
      <c r="B26" s="79"/>
      <c r="C26" s="79">
        <v>37</v>
      </c>
      <c r="D26" s="35"/>
      <c r="E26" s="36"/>
      <c r="F26" s="36"/>
      <c r="G26" s="36"/>
      <c r="H26" s="36"/>
      <c r="I26" s="36"/>
      <c r="J26" s="37">
        <f t="shared" si="0"/>
        <v>0</v>
      </c>
      <c r="L26" s="35"/>
      <c r="M26" s="36"/>
      <c r="N26" s="36"/>
      <c r="O26" s="36"/>
      <c r="P26" s="36"/>
      <c r="Q26" s="36"/>
      <c r="R26" s="37">
        <f t="shared" si="1"/>
        <v>0</v>
      </c>
      <c r="S26" s="20"/>
      <c r="T26" s="41"/>
      <c r="U26" s="42"/>
      <c r="V26" s="42"/>
      <c r="W26" s="41"/>
      <c r="X26" s="42"/>
      <c r="Y26" s="43"/>
    </row>
    <row r="27" spans="1:25" x14ac:dyDescent="0.2">
      <c r="A27" s="72"/>
      <c r="B27" s="63" t="s">
        <v>11</v>
      </c>
      <c r="C27" s="63">
        <v>22</v>
      </c>
      <c r="D27" s="14"/>
      <c r="E27" s="15"/>
      <c r="F27" s="15"/>
      <c r="G27" s="15"/>
      <c r="H27" s="15"/>
      <c r="I27" s="15"/>
      <c r="J27" s="16">
        <f t="shared" si="0"/>
        <v>0</v>
      </c>
      <c r="L27" s="14"/>
      <c r="M27" s="15"/>
      <c r="N27" s="15"/>
      <c r="O27" s="15"/>
      <c r="P27" s="15"/>
      <c r="Q27" s="15"/>
      <c r="R27" s="16">
        <f t="shared" si="1"/>
        <v>0</v>
      </c>
      <c r="S27" s="20"/>
      <c r="T27" s="21" t="e">
        <f>bdrate($D27:$D30,E27:E30,$L27:$L30,M27:M30)</f>
        <v>#VALUE!</v>
      </c>
      <c r="U27" s="22" t="e">
        <f>bdrate($D27:$D30,F27:F30,$L27:$L30,N27:N30)</f>
        <v>#VALUE!</v>
      </c>
      <c r="V27" s="22" t="e">
        <f>bdrate($D27:$D30,G27:G30,$L27:$L30,O27:O30)</f>
        <v>#VALUE!</v>
      </c>
      <c r="W27" s="44" t="e">
        <f>bdrateOld($D27:$D30,E27:E30,$L27:$L30,M27:M30)</f>
        <v>#VALUE!</v>
      </c>
      <c r="X27" s="45" t="e">
        <f>bdrateOld($D27:$D30,F27:F30,$L27:$L30,N27:N30)</f>
        <v>#VALUE!</v>
      </c>
      <c r="Y27" s="46" t="e">
        <f>bdrateOld($D27:$D30,G27:G30,$L27:$L30,O27:O30)</f>
        <v>#VALUE!</v>
      </c>
    </row>
    <row r="28" spans="1:25" x14ac:dyDescent="0.2">
      <c r="A28" s="72"/>
      <c r="B28" s="72"/>
      <c r="C28" s="72">
        <v>27</v>
      </c>
      <c r="D28" s="25"/>
      <c r="E28" s="26"/>
      <c r="F28" s="26"/>
      <c r="G28" s="26"/>
      <c r="H28" s="26"/>
      <c r="I28" s="26"/>
      <c r="J28" s="27">
        <f t="shared" si="0"/>
        <v>0</v>
      </c>
      <c r="L28" s="25"/>
      <c r="M28" s="26"/>
      <c r="N28" s="26"/>
      <c r="O28" s="26"/>
      <c r="P28" s="26"/>
      <c r="Q28" s="26"/>
      <c r="R28" s="27">
        <f t="shared" si="1"/>
        <v>0</v>
      </c>
      <c r="S28" s="20"/>
      <c r="T28" s="31"/>
      <c r="U28" s="32"/>
      <c r="V28" s="32"/>
      <c r="W28" s="31"/>
      <c r="X28" s="32"/>
      <c r="Y28" s="33"/>
    </row>
    <row r="29" spans="1:25" x14ac:dyDescent="0.2">
      <c r="A29" s="72"/>
      <c r="B29" s="72"/>
      <c r="C29" s="72">
        <v>32</v>
      </c>
      <c r="D29" s="25"/>
      <c r="E29" s="26"/>
      <c r="F29" s="26"/>
      <c r="G29" s="26"/>
      <c r="H29" s="26"/>
      <c r="I29" s="26"/>
      <c r="J29" s="27">
        <f t="shared" si="0"/>
        <v>0</v>
      </c>
      <c r="L29" s="25"/>
      <c r="M29" s="26"/>
      <c r="N29" s="26"/>
      <c r="O29" s="26"/>
      <c r="P29" s="26"/>
      <c r="Q29" s="26"/>
      <c r="R29" s="27">
        <f t="shared" si="1"/>
        <v>0</v>
      </c>
      <c r="S29" s="20"/>
      <c r="T29" s="31"/>
      <c r="U29" s="32"/>
      <c r="V29" s="32"/>
      <c r="W29" s="31"/>
      <c r="X29" s="32"/>
      <c r="Y29" s="33"/>
    </row>
    <row r="30" spans="1:25" ht="12.75" thickBot="1" x14ac:dyDescent="0.25">
      <c r="A30" s="72"/>
      <c r="B30" s="79"/>
      <c r="C30" s="79">
        <v>37</v>
      </c>
      <c r="D30" s="35"/>
      <c r="E30" s="36"/>
      <c r="F30" s="36"/>
      <c r="G30" s="36"/>
      <c r="H30" s="36"/>
      <c r="I30" s="36"/>
      <c r="J30" s="37">
        <f t="shared" si="0"/>
        <v>0</v>
      </c>
      <c r="L30" s="35"/>
      <c r="M30" s="36"/>
      <c r="N30" s="36"/>
      <c r="O30" s="36"/>
      <c r="P30" s="36"/>
      <c r="Q30" s="36"/>
      <c r="R30" s="37">
        <f t="shared" si="1"/>
        <v>0</v>
      </c>
      <c r="S30" s="20"/>
      <c r="T30" s="41"/>
      <c r="U30" s="42"/>
      <c r="V30" s="42"/>
      <c r="W30" s="41"/>
      <c r="X30" s="42"/>
      <c r="Y30" s="43"/>
    </row>
    <row r="31" spans="1:25" x14ac:dyDescent="0.2">
      <c r="A31" s="72"/>
      <c r="B31" s="63" t="s">
        <v>12</v>
      </c>
      <c r="C31" s="63">
        <v>22</v>
      </c>
      <c r="D31" s="14"/>
      <c r="E31" s="15"/>
      <c r="F31" s="15"/>
      <c r="G31" s="15"/>
      <c r="H31" s="15"/>
      <c r="I31" s="15"/>
      <c r="J31" s="16">
        <f t="shared" si="0"/>
        <v>0</v>
      </c>
      <c r="L31" s="14"/>
      <c r="M31" s="15"/>
      <c r="N31" s="15"/>
      <c r="O31" s="15"/>
      <c r="P31" s="15"/>
      <c r="Q31" s="15"/>
      <c r="R31" s="16">
        <f t="shared" si="1"/>
        <v>0</v>
      </c>
      <c r="S31" s="20"/>
      <c r="T31" s="21" t="e">
        <f>bdrate($D31:$D34,E31:E34,$L31:$L34,M31:M34)</f>
        <v>#VALUE!</v>
      </c>
      <c r="U31" s="22" t="e">
        <f>bdrate($D31:$D34,F31:F34,$L31:$L34,N31:N34)</f>
        <v>#VALUE!</v>
      </c>
      <c r="V31" s="22" t="e">
        <f>bdrate($D31:$D34,G31:G34,$L31:$L34,O31:O34)</f>
        <v>#VALUE!</v>
      </c>
      <c r="W31" s="44" t="e">
        <f>bdrateOld($D31:$D34,E31:E34,$L31:$L34,M31:M34)</f>
        <v>#VALUE!</v>
      </c>
      <c r="X31" s="45" t="e">
        <f>bdrateOld($D31:$D34,F31:F34,$L31:$L34,N31:N34)</f>
        <v>#VALUE!</v>
      </c>
      <c r="Y31" s="46" t="e">
        <f>bdrateOld($D31:$D34,G31:G34,$L31:$L34,O31:O34)</f>
        <v>#VALUE!</v>
      </c>
    </row>
    <row r="32" spans="1:25" x14ac:dyDescent="0.2">
      <c r="A32" s="72"/>
      <c r="B32" s="72"/>
      <c r="C32" s="72">
        <v>27</v>
      </c>
      <c r="D32" s="25"/>
      <c r="E32" s="26"/>
      <c r="F32" s="26"/>
      <c r="G32" s="26"/>
      <c r="H32" s="26"/>
      <c r="I32" s="26"/>
      <c r="J32" s="27">
        <f t="shared" si="0"/>
        <v>0</v>
      </c>
      <c r="L32" s="25"/>
      <c r="M32" s="26"/>
      <c r="N32" s="26"/>
      <c r="O32" s="26"/>
      <c r="P32" s="26"/>
      <c r="Q32" s="26"/>
      <c r="R32" s="27">
        <f t="shared" si="1"/>
        <v>0</v>
      </c>
      <c r="S32" s="20"/>
      <c r="T32" s="31"/>
      <c r="U32" s="32"/>
      <c r="V32" s="32"/>
      <c r="W32" s="31"/>
      <c r="X32" s="32"/>
      <c r="Y32" s="33"/>
    </row>
    <row r="33" spans="1:25" x14ac:dyDescent="0.2">
      <c r="A33" s="72"/>
      <c r="B33" s="72"/>
      <c r="C33" s="72">
        <v>32</v>
      </c>
      <c r="D33" s="25"/>
      <c r="E33" s="26"/>
      <c r="F33" s="26"/>
      <c r="G33" s="26"/>
      <c r="H33" s="26"/>
      <c r="I33" s="26"/>
      <c r="J33" s="27">
        <f t="shared" si="0"/>
        <v>0</v>
      </c>
      <c r="L33" s="25"/>
      <c r="M33" s="26"/>
      <c r="N33" s="26"/>
      <c r="O33" s="26"/>
      <c r="P33" s="26"/>
      <c r="Q33" s="26"/>
      <c r="R33" s="27">
        <f t="shared" si="1"/>
        <v>0</v>
      </c>
      <c r="S33" s="20"/>
      <c r="T33" s="31"/>
      <c r="U33" s="32"/>
      <c r="V33" s="32"/>
      <c r="W33" s="31"/>
      <c r="X33" s="32"/>
      <c r="Y33" s="33"/>
    </row>
    <row r="34" spans="1:25" ht="12.75" thickBot="1" x14ac:dyDescent="0.25">
      <c r="A34" s="72"/>
      <c r="B34" s="79"/>
      <c r="C34" s="79">
        <v>37</v>
      </c>
      <c r="D34" s="35"/>
      <c r="E34" s="36"/>
      <c r="F34" s="36"/>
      <c r="G34" s="36"/>
      <c r="H34" s="36"/>
      <c r="I34" s="36"/>
      <c r="J34" s="37">
        <f t="shared" si="0"/>
        <v>0</v>
      </c>
      <c r="L34" s="35"/>
      <c r="M34" s="36"/>
      <c r="N34" s="36"/>
      <c r="O34" s="36"/>
      <c r="P34" s="36"/>
      <c r="Q34" s="36"/>
      <c r="R34" s="37">
        <f t="shared" si="1"/>
        <v>0</v>
      </c>
      <c r="S34" s="20"/>
      <c r="T34" s="41"/>
      <c r="U34" s="42"/>
      <c r="V34" s="42"/>
      <c r="W34" s="41"/>
      <c r="X34" s="42"/>
      <c r="Y34" s="43"/>
    </row>
    <row r="35" spans="1:25" x14ac:dyDescent="0.2">
      <c r="A35" s="72"/>
      <c r="B35" s="63" t="s">
        <v>13</v>
      </c>
      <c r="C35" s="63">
        <v>22</v>
      </c>
      <c r="D35" s="14"/>
      <c r="E35" s="15"/>
      <c r="F35" s="15"/>
      <c r="G35" s="15"/>
      <c r="H35" s="15"/>
      <c r="I35" s="15"/>
      <c r="J35" s="16">
        <f t="shared" si="0"/>
        <v>0</v>
      </c>
      <c r="L35" s="14"/>
      <c r="M35" s="15"/>
      <c r="N35" s="15"/>
      <c r="O35" s="15"/>
      <c r="P35" s="15"/>
      <c r="Q35" s="15"/>
      <c r="R35" s="16">
        <f t="shared" si="1"/>
        <v>0</v>
      </c>
      <c r="S35" s="20"/>
      <c r="T35" s="21" t="e">
        <f>bdrate($D35:$D38,E35:E38,$L35:$L38,M35:M38)</f>
        <v>#VALUE!</v>
      </c>
      <c r="U35" s="22" t="e">
        <f>bdrate($D35:$D38,F35:F38,$L35:$L38,N35:N38)</f>
        <v>#VALUE!</v>
      </c>
      <c r="V35" s="22" t="e">
        <f>bdrate($D35:$D38,G35:G38,$L35:$L38,O35:O38)</f>
        <v>#VALUE!</v>
      </c>
      <c r="W35" s="44" t="e">
        <f>bdrateOld($D35:$D38,E35:E38,$L35:$L38,M35:M38)</f>
        <v>#VALUE!</v>
      </c>
      <c r="X35" s="45" t="e">
        <f>bdrateOld($D35:$D38,F35:F38,$L35:$L38,N35:N38)</f>
        <v>#VALUE!</v>
      </c>
      <c r="Y35" s="46" t="e">
        <f>bdrateOld($D35:$D38,G35:G38,$L35:$L38,O35:O38)</f>
        <v>#VALUE!</v>
      </c>
    </row>
    <row r="36" spans="1:25" x14ac:dyDescent="0.2">
      <c r="A36" s="72"/>
      <c r="B36" s="72"/>
      <c r="C36" s="72">
        <v>27</v>
      </c>
      <c r="D36" s="25"/>
      <c r="E36" s="26"/>
      <c r="F36" s="26"/>
      <c r="G36" s="26"/>
      <c r="H36" s="26"/>
      <c r="I36" s="26"/>
      <c r="J36" s="27">
        <f t="shared" si="0"/>
        <v>0</v>
      </c>
      <c r="L36" s="25"/>
      <c r="M36" s="26"/>
      <c r="N36" s="26"/>
      <c r="O36" s="26"/>
      <c r="P36" s="26"/>
      <c r="Q36" s="26"/>
      <c r="R36" s="27">
        <f t="shared" si="1"/>
        <v>0</v>
      </c>
      <c r="S36" s="20"/>
      <c r="T36" s="31"/>
      <c r="U36" s="32"/>
      <c r="V36" s="32"/>
      <c r="W36" s="31"/>
      <c r="X36" s="32"/>
      <c r="Y36" s="33"/>
    </row>
    <row r="37" spans="1:25" x14ac:dyDescent="0.2">
      <c r="A37" s="72"/>
      <c r="B37" s="72"/>
      <c r="C37" s="72">
        <v>32</v>
      </c>
      <c r="D37" s="25"/>
      <c r="E37" s="26"/>
      <c r="F37" s="26"/>
      <c r="G37" s="26"/>
      <c r="H37" s="26"/>
      <c r="I37" s="26"/>
      <c r="J37" s="27">
        <f t="shared" si="0"/>
        <v>0</v>
      </c>
      <c r="L37" s="25"/>
      <c r="M37" s="26"/>
      <c r="N37" s="26"/>
      <c r="O37" s="26"/>
      <c r="P37" s="26"/>
      <c r="Q37" s="26"/>
      <c r="R37" s="27">
        <f t="shared" si="1"/>
        <v>0</v>
      </c>
      <c r="S37" s="20"/>
      <c r="T37" s="31"/>
      <c r="U37" s="32"/>
      <c r="V37" s="32"/>
      <c r="W37" s="31"/>
      <c r="X37" s="32"/>
      <c r="Y37" s="33"/>
    </row>
    <row r="38" spans="1:25" ht="12.75" thickBot="1" x14ac:dyDescent="0.25">
      <c r="A38" s="79"/>
      <c r="B38" s="79"/>
      <c r="C38" s="79">
        <v>37</v>
      </c>
      <c r="D38" s="35"/>
      <c r="E38" s="36"/>
      <c r="F38" s="36"/>
      <c r="G38" s="36"/>
      <c r="H38" s="36"/>
      <c r="I38" s="36"/>
      <c r="J38" s="37">
        <f t="shared" si="0"/>
        <v>0</v>
      </c>
      <c r="L38" s="35"/>
      <c r="M38" s="36"/>
      <c r="N38" s="36"/>
      <c r="O38" s="36"/>
      <c r="P38" s="36"/>
      <c r="Q38" s="36"/>
      <c r="R38" s="37">
        <f t="shared" si="1"/>
        <v>0</v>
      </c>
      <c r="S38" s="20"/>
      <c r="T38" s="41"/>
      <c r="U38" s="42"/>
      <c r="V38" s="42"/>
      <c r="W38" s="41"/>
      <c r="X38" s="42"/>
      <c r="Y38" s="43"/>
    </row>
    <row r="39" spans="1:25" x14ac:dyDescent="0.2">
      <c r="A39" s="63" t="s">
        <v>14</v>
      </c>
      <c r="B39" s="63" t="s">
        <v>15</v>
      </c>
      <c r="C39" s="63">
        <v>22</v>
      </c>
      <c r="D39" s="14"/>
      <c r="E39" s="15"/>
      <c r="F39" s="15"/>
      <c r="G39" s="15"/>
      <c r="H39" s="15"/>
      <c r="I39" s="15"/>
      <c r="J39" s="16">
        <f t="shared" si="0"/>
        <v>0</v>
      </c>
      <c r="L39" s="14"/>
      <c r="M39" s="15"/>
      <c r="N39" s="15"/>
      <c r="O39" s="15"/>
      <c r="P39" s="15"/>
      <c r="Q39" s="15"/>
      <c r="R39" s="16">
        <f t="shared" si="1"/>
        <v>0</v>
      </c>
      <c r="S39" s="20"/>
      <c r="T39" s="21" t="e">
        <f>bdrate($D39:$D42,E39:E42,$L39:$L42,M39:M42)</f>
        <v>#VALUE!</v>
      </c>
      <c r="U39" s="22" t="e">
        <f>bdrate($D39:$D42,F39:F42,$L39:$L42,N39:N42)</f>
        <v>#VALUE!</v>
      </c>
      <c r="V39" s="22" t="e">
        <f>bdrate($D39:$D42,G39:G42,$L39:$L42,O39:O42)</f>
        <v>#VALUE!</v>
      </c>
      <c r="W39" s="44" t="e">
        <f>bdrateOld($D39:$D42,E39:E42,$L39:$L42,M39:M42)</f>
        <v>#VALUE!</v>
      </c>
      <c r="X39" s="45" t="e">
        <f>bdrateOld($D39:$D42,F39:F42,$L39:$L42,N39:N42)</f>
        <v>#VALUE!</v>
      </c>
      <c r="Y39" s="46" t="e">
        <f>bdrateOld($D39:$D42,G39:G42,$L39:$L42,O39:O42)</f>
        <v>#VALUE!</v>
      </c>
    </row>
    <row r="40" spans="1:25" x14ac:dyDescent="0.2">
      <c r="A40" s="72" t="s">
        <v>16</v>
      </c>
      <c r="B40" s="72"/>
      <c r="C40" s="72">
        <v>27</v>
      </c>
      <c r="D40" s="25"/>
      <c r="E40" s="26"/>
      <c r="F40" s="26"/>
      <c r="G40" s="26"/>
      <c r="H40" s="26"/>
      <c r="I40" s="26"/>
      <c r="J40" s="27">
        <f t="shared" si="0"/>
        <v>0</v>
      </c>
      <c r="L40" s="25"/>
      <c r="M40" s="26"/>
      <c r="N40" s="26"/>
      <c r="O40" s="26"/>
      <c r="P40" s="26"/>
      <c r="Q40" s="26"/>
      <c r="R40" s="27">
        <f t="shared" si="1"/>
        <v>0</v>
      </c>
      <c r="S40" s="20"/>
      <c r="T40" s="31"/>
      <c r="U40" s="32"/>
      <c r="V40" s="32"/>
      <c r="W40" s="31"/>
      <c r="X40" s="32"/>
      <c r="Y40" s="33"/>
    </row>
    <row r="41" spans="1:25" x14ac:dyDescent="0.2">
      <c r="A41" s="72"/>
      <c r="B41" s="72"/>
      <c r="C41" s="72">
        <v>32</v>
      </c>
      <c r="D41" s="25"/>
      <c r="E41" s="26"/>
      <c r="F41" s="26"/>
      <c r="G41" s="26"/>
      <c r="H41" s="26"/>
      <c r="I41" s="26"/>
      <c r="J41" s="27">
        <f t="shared" si="0"/>
        <v>0</v>
      </c>
      <c r="L41" s="25"/>
      <c r="M41" s="26"/>
      <c r="N41" s="26"/>
      <c r="O41" s="26"/>
      <c r="P41" s="26"/>
      <c r="Q41" s="26"/>
      <c r="R41" s="27">
        <f t="shared" si="1"/>
        <v>0</v>
      </c>
      <c r="S41" s="20"/>
      <c r="T41" s="31"/>
      <c r="U41" s="32"/>
      <c r="V41" s="32"/>
      <c r="W41" s="31"/>
      <c r="X41" s="32"/>
      <c r="Y41" s="33"/>
    </row>
    <row r="42" spans="1:25" ht="12.75" thickBot="1" x14ac:dyDescent="0.25">
      <c r="A42" s="72"/>
      <c r="B42" s="79"/>
      <c r="C42" s="79">
        <v>37</v>
      </c>
      <c r="D42" s="35"/>
      <c r="E42" s="36"/>
      <c r="F42" s="36"/>
      <c r="G42" s="36"/>
      <c r="H42" s="36"/>
      <c r="I42" s="36"/>
      <c r="J42" s="37">
        <f t="shared" si="0"/>
        <v>0</v>
      </c>
      <c r="L42" s="35"/>
      <c r="M42" s="36"/>
      <c r="N42" s="36"/>
      <c r="O42" s="36"/>
      <c r="P42" s="36"/>
      <c r="Q42" s="36"/>
      <c r="R42" s="37">
        <f t="shared" si="1"/>
        <v>0</v>
      </c>
      <c r="S42" s="20"/>
      <c r="T42" s="41"/>
      <c r="U42" s="42"/>
      <c r="V42" s="42"/>
      <c r="W42" s="41"/>
      <c r="X42" s="42"/>
      <c r="Y42" s="43"/>
    </row>
    <row r="43" spans="1:25" x14ac:dyDescent="0.2">
      <c r="A43" s="72"/>
      <c r="B43" s="63" t="s">
        <v>17</v>
      </c>
      <c r="C43" s="63">
        <v>22</v>
      </c>
      <c r="D43" s="14"/>
      <c r="E43" s="15"/>
      <c r="F43" s="15"/>
      <c r="G43" s="15"/>
      <c r="H43" s="15"/>
      <c r="I43" s="15"/>
      <c r="J43" s="16">
        <f t="shared" si="0"/>
        <v>0</v>
      </c>
      <c r="L43" s="14"/>
      <c r="M43" s="15"/>
      <c r="N43" s="15"/>
      <c r="O43" s="15"/>
      <c r="P43" s="15"/>
      <c r="Q43" s="15"/>
      <c r="R43" s="16">
        <f t="shared" si="1"/>
        <v>0</v>
      </c>
      <c r="S43" s="20"/>
      <c r="T43" s="21" t="e">
        <f>bdrate($D43:$D46,E43:E46,$L43:$L46,M43:M46)</f>
        <v>#VALUE!</v>
      </c>
      <c r="U43" s="22" t="e">
        <f>bdrate($D43:$D46,F43:F46,$L43:$L46,N43:N46)</f>
        <v>#VALUE!</v>
      </c>
      <c r="V43" s="22" t="e">
        <f>bdrate($D43:$D46,G43:G46,$L43:$L46,O43:O46)</f>
        <v>#VALUE!</v>
      </c>
      <c r="W43" s="44" t="e">
        <f>bdrateOld($D43:$D46,E43:E46,$L43:$L46,M43:M46)</f>
        <v>#VALUE!</v>
      </c>
      <c r="X43" s="45" t="e">
        <f>bdrateOld($D43:$D46,F43:F46,$L43:$L46,N43:N46)</f>
        <v>#VALUE!</v>
      </c>
      <c r="Y43" s="46" t="e">
        <f>bdrateOld($D43:$D46,G43:G46,$L43:$L46,O43:O46)</f>
        <v>#VALUE!</v>
      </c>
    </row>
    <row r="44" spans="1:25" x14ac:dyDescent="0.2">
      <c r="A44" s="72"/>
      <c r="B44" s="72"/>
      <c r="C44" s="72">
        <v>27</v>
      </c>
      <c r="D44" s="25"/>
      <c r="E44" s="26"/>
      <c r="F44" s="26"/>
      <c r="G44" s="26"/>
      <c r="H44" s="26"/>
      <c r="I44" s="26"/>
      <c r="J44" s="27">
        <f t="shared" si="0"/>
        <v>0</v>
      </c>
      <c r="L44" s="25"/>
      <c r="M44" s="26"/>
      <c r="N44" s="26"/>
      <c r="O44" s="26"/>
      <c r="P44" s="26"/>
      <c r="Q44" s="26"/>
      <c r="R44" s="27">
        <f t="shared" si="1"/>
        <v>0</v>
      </c>
      <c r="S44" s="20"/>
      <c r="T44" s="31"/>
      <c r="U44" s="32"/>
      <c r="V44" s="32"/>
      <c r="W44" s="31"/>
      <c r="X44" s="32"/>
      <c r="Y44" s="33"/>
    </row>
    <row r="45" spans="1:25" x14ac:dyDescent="0.2">
      <c r="A45" s="72"/>
      <c r="B45" s="72"/>
      <c r="C45" s="72">
        <v>32</v>
      </c>
      <c r="D45" s="25"/>
      <c r="E45" s="26"/>
      <c r="F45" s="26"/>
      <c r="G45" s="26"/>
      <c r="H45" s="26"/>
      <c r="I45" s="26"/>
      <c r="J45" s="27">
        <f t="shared" si="0"/>
        <v>0</v>
      </c>
      <c r="L45" s="25"/>
      <c r="M45" s="26"/>
      <c r="N45" s="26"/>
      <c r="O45" s="26"/>
      <c r="P45" s="26"/>
      <c r="Q45" s="26"/>
      <c r="R45" s="27">
        <f t="shared" si="1"/>
        <v>0</v>
      </c>
      <c r="S45" s="20"/>
      <c r="T45" s="31"/>
      <c r="U45" s="32"/>
      <c r="V45" s="32"/>
      <c r="W45" s="31"/>
      <c r="X45" s="32"/>
      <c r="Y45" s="33"/>
    </row>
    <row r="46" spans="1:25" ht="12.75" thickBot="1" x14ac:dyDescent="0.25">
      <c r="A46" s="72"/>
      <c r="B46" s="79"/>
      <c r="C46" s="79">
        <v>37</v>
      </c>
      <c r="D46" s="35"/>
      <c r="E46" s="36"/>
      <c r="F46" s="36"/>
      <c r="G46" s="36"/>
      <c r="H46" s="36"/>
      <c r="I46" s="36"/>
      <c r="J46" s="37">
        <f t="shared" si="0"/>
        <v>0</v>
      </c>
      <c r="L46" s="35"/>
      <c r="M46" s="36"/>
      <c r="N46" s="36"/>
      <c r="O46" s="36"/>
      <c r="P46" s="36"/>
      <c r="Q46" s="36"/>
      <c r="R46" s="37">
        <f t="shared" si="1"/>
        <v>0</v>
      </c>
      <c r="S46" s="20"/>
      <c r="T46" s="41"/>
      <c r="U46" s="42"/>
      <c r="V46" s="42"/>
      <c r="W46" s="41"/>
      <c r="X46" s="42"/>
      <c r="Y46" s="43"/>
    </row>
    <row r="47" spans="1:25" x14ac:dyDescent="0.2">
      <c r="A47" s="72"/>
      <c r="B47" s="63" t="s">
        <v>18</v>
      </c>
      <c r="C47" s="63">
        <v>22</v>
      </c>
      <c r="D47" s="14"/>
      <c r="E47" s="15"/>
      <c r="F47" s="15"/>
      <c r="G47" s="15"/>
      <c r="H47" s="15"/>
      <c r="I47" s="15"/>
      <c r="J47" s="16">
        <f t="shared" si="0"/>
        <v>0</v>
      </c>
      <c r="L47" s="14"/>
      <c r="M47" s="15"/>
      <c r="N47" s="15"/>
      <c r="O47" s="15"/>
      <c r="P47" s="15"/>
      <c r="Q47" s="15"/>
      <c r="R47" s="16">
        <f t="shared" si="1"/>
        <v>0</v>
      </c>
      <c r="S47" s="20"/>
      <c r="T47" s="21" t="e">
        <f>bdrate($D47:$D50,E47:E50,$L47:$L50,M47:M50)</f>
        <v>#VALUE!</v>
      </c>
      <c r="U47" s="22" t="e">
        <f>bdrate($D47:$D50,F47:F50,$L47:$L50,N47:N50)</f>
        <v>#VALUE!</v>
      </c>
      <c r="V47" s="22" t="e">
        <f>bdrate($D47:$D50,G47:G50,$L47:$L50,O47:O50)</f>
        <v>#VALUE!</v>
      </c>
      <c r="W47" s="44" t="e">
        <f>bdrateOld($D47:$D50,E47:E50,$L47:$L50,M47:M50)</f>
        <v>#VALUE!</v>
      </c>
      <c r="X47" s="45" t="e">
        <f>bdrateOld($D47:$D50,F47:F50,$L47:$L50,N47:N50)</f>
        <v>#VALUE!</v>
      </c>
      <c r="Y47" s="46" t="e">
        <f>bdrateOld($D47:$D50,G47:G50,$L47:$L50,O47:O50)</f>
        <v>#VALUE!</v>
      </c>
    </row>
    <row r="48" spans="1:25" x14ac:dyDescent="0.2">
      <c r="A48" s="72"/>
      <c r="B48" s="72"/>
      <c r="C48" s="72">
        <v>27</v>
      </c>
      <c r="D48" s="25"/>
      <c r="E48" s="26"/>
      <c r="F48" s="26"/>
      <c r="G48" s="26"/>
      <c r="H48" s="26"/>
      <c r="I48" s="26"/>
      <c r="J48" s="27">
        <f t="shared" si="0"/>
        <v>0</v>
      </c>
      <c r="L48" s="25"/>
      <c r="M48" s="26"/>
      <c r="N48" s="26"/>
      <c r="O48" s="26"/>
      <c r="P48" s="26"/>
      <c r="Q48" s="26"/>
      <c r="R48" s="27">
        <f t="shared" si="1"/>
        <v>0</v>
      </c>
      <c r="S48" s="20"/>
      <c r="T48" s="31"/>
      <c r="U48" s="32"/>
      <c r="V48" s="32"/>
      <c r="W48" s="31"/>
      <c r="X48" s="32"/>
      <c r="Y48" s="33"/>
    </row>
    <row r="49" spans="1:25" x14ac:dyDescent="0.2">
      <c r="A49" s="72"/>
      <c r="B49" s="72"/>
      <c r="C49" s="72">
        <v>32</v>
      </c>
      <c r="D49" s="25"/>
      <c r="E49" s="26"/>
      <c r="F49" s="26"/>
      <c r="G49" s="26"/>
      <c r="H49" s="26"/>
      <c r="I49" s="26"/>
      <c r="J49" s="27">
        <f t="shared" si="0"/>
        <v>0</v>
      </c>
      <c r="L49" s="25"/>
      <c r="M49" s="26"/>
      <c r="N49" s="26"/>
      <c r="O49" s="26"/>
      <c r="P49" s="26"/>
      <c r="Q49" s="26"/>
      <c r="R49" s="27">
        <f t="shared" si="1"/>
        <v>0</v>
      </c>
      <c r="S49" s="20"/>
      <c r="T49" s="31"/>
      <c r="U49" s="32"/>
      <c r="V49" s="32"/>
      <c r="W49" s="31"/>
      <c r="X49" s="32"/>
      <c r="Y49" s="33"/>
    </row>
    <row r="50" spans="1:25" ht="12.75" thickBot="1" x14ac:dyDescent="0.25">
      <c r="A50" s="72"/>
      <c r="B50" s="79"/>
      <c r="C50" s="79">
        <v>37</v>
      </c>
      <c r="D50" s="35"/>
      <c r="E50" s="36"/>
      <c r="F50" s="36"/>
      <c r="G50" s="36"/>
      <c r="H50" s="36"/>
      <c r="I50" s="36"/>
      <c r="J50" s="37">
        <f t="shared" si="0"/>
        <v>0</v>
      </c>
      <c r="L50" s="35"/>
      <c r="M50" s="36"/>
      <c r="N50" s="36"/>
      <c r="O50" s="36"/>
      <c r="P50" s="36"/>
      <c r="Q50" s="36"/>
      <c r="R50" s="37">
        <f t="shared" si="1"/>
        <v>0</v>
      </c>
      <c r="S50" s="20"/>
      <c r="T50" s="41"/>
      <c r="U50" s="42"/>
      <c r="V50" s="42"/>
      <c r="W50" s="41"/>
      <c r="X50" s="42"/>
      <c r="Y50" s="43"/>
    </row>
    <row r="51" spans="1:25" x14ac:dyDescent="0.2">
      <c r="A51" s="72"/>
      <c r="B51" s="63" t="s">
        <v>19</v>
      </c>
      <c r="C51" s="63">
        <v>22</v>
      </c>
      <c r="D51" s="14"/>
      <c r="E51" s="15"/>
      <c r="F51" s="15"/>
      <c r="G51" s="15"/>
      <c r="H51" s="15"/>
      <c r="I51" s="15"/>
      <c r="J51" s="16">
        <f t="shared" si="0"/>
        <v>0</v>
      </c>
      <c r="L51" s="14"/>
      <c r="M51" s="15"/>
      <c r="N51" s="15"/>
      <c r="O51" s="15"/>
      <c r="P51" s="15"/>
      <c r="Q51" s="15"/>
      <c r="R51" s="16">
        <f t="shared" si="1"/>
        <v>0</v>
      </c>
      <c r="S51" s="20"/>
      <c r="T51" s="21" t="e">
        <f>bdrate($D51:$D54,E51:E54,$L51:$L54,M51:M54)</f>
        <v>#VALUE!</v>
      </c>
      <c r="U51" s="22" t="e">
        <f>bdrate($D51:$D54,F51:F54,$L51:$L54,N51:N54)</f>
        <v>#VALUE!</v>
      </c>
      <c r="V51" s="22" t="e">
        <f>bdrate($D51:$D54,G51:G54,$L51:$L54,O51:O54)</f>
        <v>#VALUE!</v>
      </c>
      <c r="W51" s="44" t="e">
        <f>bdrateOld($D51:$D54,E51:E54,$L51:$L54,M51:M54)</f>
        <v>#VALUE!</v>
      </c>
      <c r="X51" s="45" t="e">
        <f>bdrateOld($D51:$D54,F51:F54,$L51:$L54,N51:N54)</f>
        <v>#VALUE!</v>
      </c>
      <c r="Y51" s="46" t="e">
        <f>bdrateOld($D51:$D54,G51:G54,$L51:$L54,O51:O54)</f>
        <v>#VALUE!</v>
      </c>
    </row>
    <row r="52" spans="1:25" x14ac:dyDescent="0.2">
      <c r="A52" s="72"/>
      <c r="B52" s="72"/>
      <c r="C52" s="72">
        <v>27</v>
      </c>
      <c r="D52" s="25"/>
      <c r="E52" s="26"/>
      <c r="F52" s="26"/>
      <c r="G52" s="26"/>
      <c r="H52" s="26"/>
      <c r="I52" s="26"/>
      <c r="J52" s="27">
        <f t="shared" si="0"/>
        <v>0</v>
      </c>
      <c r="L52" s="25"/>
      <c r="M52" s="26"/>
      <c r="N52" s="26"/>
      <c r="O52" s="26"/>
      <c r="P52" s="26"/>
      <c r="Q52" s="26"/>
      <c r="R52" s="27">
        <f t="shared" si="1"/>
        <v>0</v>
      </c>
      <c r="S52" s="20"/>
      <c r="T52" s="31"/>
      <c r="U52" s="32"/>
      <c r="V52" s="32"/>
      <c r="W52" s="31"/>
      <c r="X52" s="32"/>
      <c r="Y52" s="33"/>
    </row>
    <row r="53" spans="1:25" x14ac:dyDescent="0.2">
      <c r="A53" s="72"/>
      <c r="B53" s="72"/>
      <c r="C53" s="72">
        <v>32</v>
      </c>
      <c r="D53" s="25"/>
      <c r="E53" s="26"/>
      <c r="F53" s="26"/>
      <c r="G53" s="26"/>
      <c r="H53" s="26"/>
      <c r="I53" s="26"/>
      <c r="J53" s="27">
        <f t="shared" si="0"/>
        <v>0</v>
      </c>
      <c r="L53" s="25"/>
      <c r="M53" s="26"/>
      <c r="N53" s="26"/>
      <c r="O53" s="26"/>
      <c r="P53" s="26"/>
      <c r="Q53" s="26"/>
      <c r="R53" s="27">
        <f t="shared" si="1"/>
        <v>0</v>
      </c>
      <c r="S53" s="20"/>
      <c r="T53" s="31"/>
      <c r="U53" s="32"/>
      <c r="V53" s="32"/>
      <c r="W53" s="31"/>
      <c r="X53" s="32"/>
      <c r="Y53" s="33"/>
    </row>
    <row r="54" spans="1:25" ht="12.75" thickBot="1" x14ac:dyDescent="0.25">
      <c r="A54" s="79"/>
      <c r="B54" s="79"/>
      <c r="C54" s="79">
        <v>37</v>
      </c>
      <c r="D54" s="35"/>
      <c r="E54" s="36"/>
      <c r="F54" s="36"/>
      <c r="G54" s="36"/>
      <c r="H54" s="36"/>
      <c r="I54" s="36"/>
      <c r="J54" s="37">
        <f t="shared" si="0"/>
        <v>0</v>
      </c>
      <c r="L54" s="35"/>
      <c r="M54" s="36"/>
      <c r="N54" s="36"/>
      <c r="O54" s="36"/>
      <c r="P54" s="36"/>
      <c r="Q54" s="36"/>
      <c r="R54" s="37">
        <f t="shared" si="1"/>
        <v>0</v>
      </c>
      <c r="S54" s="20"/>
      <c r="T54" s="41"/>
      <c r="U54" s="42"/>
      <c r="V54" s="42"/>
      <c r="W54" s="41"/>
      <c r="X54" s="42"/>
      <c r="Y54" s="43"/>
    </row>
    <row r="55" spans="1:25" x14ac:dyDescent="0.2">
      <c r="A55" s="63" t="s">
        <v>20</v>
      </c>
      <c r="B55" s="63" t="s">
        <v>21</v>
      </c>
      <c r="C55" s="63">
        <v>22</v>
      </c>
      <c r="D55" s="14"/>
      <c r="E55" s="15"/>
      <c r="F55" s="15"/>
      <c r="G55" s="15"/>
      <c r="H55" s="15"/>
      <c r="I55" s="15"/>
      <c r="J55" s="16">
        <f t="shared" si="0"/>
        <v>0</v>
      </c>
      <c r="L55" s="14"/>
      <c r="M55" s="15"/>
      <c r="N55" s="15"/>
      <c r="O55" s="15"/>
      <c r="P55" s="15"/>
      <c r="Q55" s="15"/>
      <c r="R55" s="16">
        <f t="shared" si="1"/>
        <v>0</v>
      </c>
      <c r="S55" s="20"/>
      <c r="T55" s="21" t="e">
        <f>bdrate($D55:$D58,E55:E58,$L55:$L58,M55:M58)</f>
        <v>#VALUE!</v>
      </c>
      <c r="U55" s="22" t="e">
        <f>bdrate($D55:$D58,F55:F58,$L55:$L58,N55:N58)</f>
        <v>#VALUE!</v>
      </c>
      <c r="V55" s="22" t="e">
        <f>bdrate($D55:$D58,G55:G58,$L55:$L58,O55:O58)</f>
        <v>#VALUE!</v>
      </c>
      <c r="W55" s="44" t="e">
        <f>bdrateOld($D55:$D58,E55:E58,$L55:$L58,M55:M58)</f>
        <v>#VALUE!</v>
      </c>
      <c r="X55" s="45" t="e">
        <f>bdrateOld($D55:$D58,F55:F58,$L55:$L58,N55:N58)</f>
        <v>#VALUE!</v>
      </c>
      <c r="Y55" s="46" t="e">
        <f>bdrateOld($D55:$D58,G55:G58,$L55:$L58,O55:O58)</f>
        <v>#VALUE!</v>
      </c>
    </row>
    <row r="56" spans="1:25" x14ac:dyDescent="0.2">
      <c r="A56" s="72" t="s">
        <v>22</v>
      </c>
      <c r="B56" s="72"/>
      <c r="C56" s="72">
        <v>27</v>
      </c>
      <c r="D56" s="25"/>
      <c r="E56" s="26"/>
      <c r="F56" s="26"/>
      <c r="G56" s="26"/>
      <c r="H56" s="26"/>
      <c r="I56" s="26"/>
      <c r="J56" s="27">
        <f t="shared" si="0"/>
        <v>0</v>
      </c>
      <c r="L56" s="25"/>
      <c r="M56" s="26"/>
      <c r="N56" s="26"/>
      <c r="O56" s="26"/>
      <c r="P56" s="26"/>
      <c r="Q56" s="26"/>
      <c r="R56" s="27">
        <f t="shared" si="1"/>
        <v>0</v>
      </c>
      <c r="S56" s="20"/>
      <c r="T56" s="31"/>
      <c r="U56" s="32"/>
      <c r="V56" s="32"/>
      <c r="W56" s="31"/>
      <c r="X56" s="32"/>
      <c r="Y56" s="33"/>
    </row>
    <row r="57" spans="1:25" x14ac:dyDescent="0.2">
      <c r="A57" s="72"/>
      <c r="B57" s="72"/>
      <c r="C57" s="72">
        <v>32</v>
      </c>
      <c r="D57" s="25"/>
      <c r="E57" s="26"/>
      <c r="F57" s="26"/>
      <c r="G57" s="26"/>
      <c r="H57" s="26"/>
      <c r="I57" s="26"/>
      <c r="J57" s="27">
        <f t="shared" si="0"/>
        <v>0</v>
      </c>
      <c r="L57" s="25"/>
      <c r="M57" s="26"/>
      <c r="N57" s="26"/>
      <c r="O57" s="26"/>
      <c r="P57" s="26"/>
      <c r="Q57" s="26"/>
      <c r="R57" s="27">
        <f t="shared" si="1"/>
        <v>0</v>
      </c>
      <c r="S57" s="20"/>
      <c r="T57" s="31"/>
      <c r="U57" s="32"/>
      <c r="V57" s="32"/>
      <c r="W57" s="31"/>
      <c r="X57" s="32"/>
      <c r="Y57" s="33"/>
    </row>
    <row r="58" spans="1:25" ht="12.75" thickBot="1" x14ac:dyDescent="0.25">
      <c r="A58" s="72"/>
      <c r="B58" s="79"/>
      <c r="C58" s="79">
        <v>37</v>
      </c>
      <c r="D58" s="35"/>
      <c r="E58" s="36"/>
      <c r="F58" s="36"/>
      <c r="G58" s="36"/>
      <c r="H58" s="36"/>
      <c r="I58" s="36"/>
      <c r="J58" s="37">
        <f t="shared" si="0"/>
        <v>0</v>
      </c>
      <c r="L58" s="35"/>
      <c r="M58" s="36"/>
      <c r="N58" s="36"/>
      <c r="O58" s="36"/>
      <c r="P58" s="36"/>
      <c r="Q58" s="36"/>
      <c r="R58" s="37">
        <f t="shared" si="1"/>
        <v>0</v>
      </c>
      <c r="S58" s="20"/>
      <c r="T58" s="41"/>
      <c r="U58" s="42"/>
      <c r="V58" s="42"/>
      <c r="W58" s="41"/>
      <c r="X58" s="42"/>
      <c r="Y58" s="43"/>
    </row>
    <row r="59" spans="1:25" x14ac:dyDescent="0.2">
      <c r="A59" s="72"/>
      <c r="B59" s="63" t="s">
        <v>23</v>
      </c>
      <c r="C59" s="63">
        <v>22</v>
      </c>
      <c r="D59" s="14"/>
      <c r="E59" s="15"/>
      <c r="F59" s="15"/>
      <c r="G59" s="15"/>
      <c r="H59" s="15"/>
      <c r="I59" s="15"/>
      <c r="J59" s="16">
        <f t="shared" si="0"/>
        <v>0</v>
      </c>
      <c r="L59" s="14"/>
      <c r="M59" s="15"/>
      <c r="N59" s="15"/>
      <c r="O59" s="15"/>
      <c r="P59" s="15"/>
      <c r="Q59" s="15"/>
      <c r="R59" s="16">
        <f t="shared" si="1"/>
        <v>0</v>
      </c>
      <c r="S59" s="20"/>
      <c r="T59" s="21" t="e">
        <f>bdrate($D59:$D62,E59:E62,$L59:$L62,M59:M62)</f>
        <v>#VALUE!</v>
      </c>
      <c r="U59" s="22" t="e">
        <f>bdrate($D59:$D62,F59:F62,$L59:$L62,N59:N62)</f>
        <v>#VALUE!</v>
      </c>
      <c r="V59" s="22" t="e">
        <f>bdrate($D59:$D62,G59:G62,$L59:$L62,O59:O62)</f>
        <v>#VALUE!</v>
      </c>
      <c r="W59" s="44" t="e">
        <f>bdrateOld($D59:$D62,E59:E62,$L59:$L62,M59:M62)</f>
        <v>#VALUE!</v>
      </c>
      <c r="X59" s="45" t="e">
        <f>bdrateOld($D59:$D62,F59:F62,$L59:$L62,N59:N62)</f>
        <v>#VALUE!</v>
      </c>
      <c r="Y59" s="46" t="e">
        <f>bdrateOld($D59:$D62,G59:G62,$L59:$L62,O59:O62)</f>
        <v>#VALUE!</v>
      </c>
    </row>
    <row r="60" spans="1:25" x14ac:dyDescent="0.2">
      <c r="A60" s="72"/>
      <c r="B60" s="72"/>
      <c r="C60" s="72">
        <v>27</v>
      </c>
      <c r="D60" s="25"/>
      <c r="E60" s="26"/>
      <c r="F60" s="26"/>
      <c r="G60" s="26"/>
      <c r="H60" s="26"/>
      <c r="I60" s="26"/>
      <c r="J60" s="27">
        <f t="shared" si="0"/>
        <v>0</v>
      </c>
      <c r="L60" s="25"/>
      <c r="M60" s="26"/>
      <c r="N60" s="26"/>
      <c r="O60" s="26"/>
      <c r="P60" s="26"/>
      <c r="Q60" s="26"/>
      <c r="R60" s="27">
        <f t="shared" si="1"/>
        <v>0</v>
      </c>
      <c r="S60" s="20"/>
      <c r="T60" s="31"/>
      <c r="U60" s="32"/>
      <c r="V60" s="32"/>
      <c r="W60" s="31"/>
      <c r="X60" s="32"/>
      <c r="Y60" s="33"/>
    </row>
    <row r="61" spans="1:25" x14ac:dyDescent="0.2">
      <c r="A61" s="72"/>
      <c r="B61" s="72"/>
      <c r="C61" s="72">
        <v>32</v>
      </c>
      <c r="D61" s="25"/>
      <c r="E61" s="26"/>
      <c r="F61" s="26"/>
      <c r="G61" s="26"/>
      <c r="H61" s="26"/>
      <c r="I61" s="26"/>
      <c r="J61" s="27">
        <f t="shared" si="0"/>
        <v>0</v>
      </c>
      <c r="L61" s="25"/>
      <c r="M61" s="26"/>
      <c r="N61" s="26"/>
      <c r="O61" s="26"/>
      <c r="P61" s="26"/>
      <c r="Q61" s="26"/>
      <c r="R61" s="27">
        <f t="shared" si="1"/>
        <v>0</v>
      </c>
      <c r="S61" s="20"/>
      <c r="T61" s="31"/>
      <c r="U61" s="32"/>
      <c r="V61" s="32"/>
      <c r="W61" s="31"/>
      <c r="X61" s="32"/>
      <c r="Y61" s="33"/>
    </row>
    <row r="62" spans="1:25" ht="12.75" thickBot="1" x14ac:dyDescent="0.25">
      <c r="A62" s="72"/>
      <c r="B62" s="79"/>
      <c r="C62" s="79">
        <v>37</v>
      </c>
      <c r="D62" s="35"/>
      <c r="E62" s="36"/>
      <c r="F62" s="36"/>
      <c r="G62" s="36"/>
      <c r="H62" s="36"/>
      <c r="I62" s="36"/>
      <c r="J62" s="37">
        <f t="shared" si="0"/>
        <v>0</v>
      </c>
      <c r="L62" s="35"/>
      <c r="M62" s="36"/>
      <c r="N62" s="36"/>
      <c r="O62" s="36"/>
      <c r="P62" s="36"/>
      <c r="Q62" s="36"/>
      <c r="R62" s="37">
        <f t="shared" si="1"/>
        <v>0</v>
      </c>
      <c r="S62" s="20"/>
      <c r="T62" s="41"/>
      <c r="U62" s="42"/>
      <c r="V62" s="42"/>
      <c r="W62" s="41"/>
      <c r="X62" s="42"/>
      <c r="Y62" s="43"/>
    </row>
    <row r="63" spans="1:25" x14ac:dyDescent="0.2">
      <c r="A63" s="72"/>
      <c r="B63" s="63" t="s">
        <v>24</v>
      </c>
      <c r="C63" s="63">
        <v>22</v>
      </c>
      <c r="D63" s="14"/>
      <c r="E63" s="15"/>
      <c r="F63" s="15"/>
      <c r="G63" s="15"/>
      <c r="H63" s="15"/>
      <c r="I63" s="15"/>
      <c r="J63" s="16">
        <f t="shared" si="0"/>
        <v>0</v>
      </c>
      <c r="L63" s="14"/>
      <c r="M63" s="15"/>
      <c r="N63" s="15"/>
      <c r="O63" s="15"/>
      <c r="P63" s="15"/>
      <c r="Q63" s="15"/>
      <c r="R63" s="16">
        <f t="shared" si="1"/>
        <v>0</v>
      </c>
      <c r="S63" s="20"/>
      <c r="T63" s="21" t="e">
        <f>bdrate($D63:$D66,E63:E66,$L63:$L66,M63:M66)</f>
        <v>#VALUE!</v>
      </c>
      <c r="U63" s="22" t="e">
        <f>bdrate($D63:$D66,F63:F66,$L63:$L66,N63:N66)</f>
        <v>#VALUE!</v>
      </c>
      <c r="V63" s="22" t="e">
        <f>bdrate($D63:$D66,G63:G66,$L63:$L66,O63:O66)</f>
        <v>#VALUE!</v>
      </c>
      <c r="W63" s="44" t="e">
        <f>bdrateOld($D63:$D66,E63:E66,$L63:$L66,M63:M66)</f>
        <v>#VALUE!</v>
      </c>
      <c r="X63" s="45" t="e">
        <f>bdrateOld($D63:$D66,F63:F66,$L63:$L66,N63:N66)</f>
        <v>#VALUE!</v>
      </c>
      <c r="Y63" s="46" t="e">
        <f>bdrateOld($D63:$D66,G63:G66,$L63:$L66,O63:O66)</f>
        <v>#VALUE!</v>
      </c>
    </row>
    <row r="64" spans="1:25" x14ac:dyDescent="0.2">
      <c r="A64" s="72"/>
      <c r="B64" s="72"/>
      <c r="C64" s="72">
        <v>27</v>
      </c>
      <c r="D64" s="25"/>
      <c r="E64" s="26"/>
      <c r="F64" s="26"/>
      <c r="G64" s="26"/>
      <c r="H64" s="26"/>
      <c r="I64" s="26"/>
      <c r="J64" s="27">
        <f t="shared" si="0"/>
        <v>0</v>
      </c>
      <c r="L64" s="25"/>
      <c r="M64" s="26"/>
      <c r="N64" s="26"/>
      <c r="O64" s="26"/>
      <c r="P64" s="26"/>
      <c r="Q64" s="26"/>
      <c r="R64" s="27">
        <f t="shared" si="1"/>
        <v>0</v>
      </c>
      <c r="S64" s="20"/>
      <c r="T64" s="31"/>
      <c r="U64" s="32"/>
      <c r="V64" s="32"/>
      <c r="W64" s="31"/>
      <c r="X64" s="32"/>
      <c r="Y64" s="33"/>
    </row>
    <row r="65" spans="1:25" x14ac:dyDescent="0.2">
      <c r="A65" s="72"/>
      <c r="B65" s="72"/>
      <c r="C65" s="72">
        <v>32</v>
      </c>
      <c r="D65" s="25"/>
      <c r="E65" s="26"/>
      <c r="F65" s="26"/>
      <c r="G65" s="26"/>
      <c r="H65" s="26"/>
      <c r="I65" s="26"/>
      <c r="J65" s="27">
        <f t="shared" si="0"/>
        <v>0</v>
      </c>
      <c r="L65" s="25"/>
      <c r="M65" s="26"/>
      <c r="N65" s="26"/>
      <c r="O65" s="26"/>
      <c r="P65" s="26"/>
      <c r="Q65" s="26"/>
      <c r="R65" s="27">
        <f t="shared" si="1"/>
        <v>0</v>
      </c>
      <c r="S65" s="20"/>
      <c r="T65" s="31"/>
      <c r="U65" s="32"/>
      <c r="V65" s="32"/>
      <c r="W65" s="31"/>
      <c r="X65" s="32"/>
      <c r="Y65" s="33"/>
    </row>
    <row r="66" spans="1:25" ht="12.75" thickBot="1" x14ac:dyDescent="0.25">
      <c r="A66" s="72"/>
      <c r="B66" s="79"/>
      <c r="C66" s="79">
        <v>37</v>
      </c>
      <c r="D66" s="35"/>
      <c r="E66" s="36"/>
      <c r="F66" s="36"/>
      <c r="G66" s="36"/>
      <c r="H66" s="36"/>
      <c r="I66" s="36"/>
      <c r="J66" s="37">
        <f t="shared" si="0"/>
        <v>0</v>
      </c>
      <c r="L66" s="35"/>
      <c r="M66" s="36"/>
      <c r="N66" s="36"/>
      <c r="O66" s="36"/>
      <c r="P66" s="36"/>
      <c r="Q66" s="36"/>
      <c r="R66" s="37">
        <f t="shared" si="1"/>
        <v>0</v>
      </c>
      <c r="S66" s="20"/>
      <c r="T66" s="41"/>
      <c r="U66" s="42"/>
      <c r="V66" s="42"/>
      <c r="W66" s="41"/>
      <c r="X66" s="42"/>
      <c r="Y66" s="43"/>
    </row>
    <row r="67" spans="1:25" x14ac:dyDescent="0.2">
      <c r="A67" s="72"/>
      <c r="B67" s="63" t="s">
        <v>19</v>
      </c>
      <c r="C67" s="63">
        <v>22</v>
      </c>
      <c r="D67" s="14"/>
      <c r="E67" s="15"/>
      <c r="F67" s="15"/>
      <c r="G67" s="15"/>
      <c r="H67" s="15"/>
      <c r="I67" s="15"/>
      <c r="J67" s="16">
        <f t="shared" si="0"/>
        <v>0</v>
      </c>
      <c r="L67" s="14"/>
      <c r="M67" s="15"/>
      <c r="N67" s="15"/>
      <c r="O67" s="15"/>
      <c r="P67" s="15"/>
      <c r="Q67" s="15"/>
      <c r="R67" s="16">
        <f t="shared" si="1"/>
        <v>0</v>
      </c>
      <c r="S67" s="20"/>
      <c r="T67" s="21" t="e">
        <f>bdrate($D67:$D70,E67:E70,$L67:$L70,M67:M70)</f>
        <v>#VALUE!</v>
      </c>
      <c r="U67" s="22" t="e">
        <f>bdrate($D67:$D70,F67:F70,$L67:$L70,N67:N70)</f>
        <v>#VALUE!</v>
      </c>
      <c r="V67" s="22" t="e">
        <f>bdrate($D67:$D70,G67:G70,$L67:$L70,O67:O70)</f>
        <v>#VALUE!</v>
      </c>
      <c r="W67" s="44" t="e">
        <f>bdrateOld($D67:$D70,E67:E70,$L67:$L70,M67:M70)</f>
        <v>#VALUE!</v>
      </c>
      <c r="X67" s="45" t="e">
        <f>bdrateOld($D67:$D70,F67:F70,$L67:$L70,N67:N70)</f>
        <v>#VALUE!</v>
      </c>
      <c r="Y67" s="46" t="e">
        <f>bdrateOld($D67:$D70,G67:G70,$L67:$L70,O67:O70)</f>
        <v>#VALUE!</v>
      </c>
    </row>
    <row r="68" spans="1:25" x14ac:dyDescent="0.2">
      <c r="A68" s="72"/>
      <c r="B68" s="72"/>
      <c r="C68" s="72">
        <v>27</v>
      </c>
      <c r="D68" s="25"/>
      <c r="E68" s="26"/>
      <c r="F68" s="26"/>
      <c r="G68" s="26"/>
      <c r="H68" s="26"/>
      <c r="I68" s="26"/>
      <c r="J68" s="27">
        <f t="shared" ref="J68:J98" si="2">H68/3600</f>
        <v>0</v>
      </c>
      <c r="L68" s="25"/>
      <c r="M68" s="26"/>
      <c r="N68" s="26"/>
      <c r="O68" s="26"/>
      <c r="P68" s="26"/>
      <c r="Q68" s="26"/>
      <c r="R68" s="27">
        <f t="shared" ref="R68:R98" si="3">P68/3600</f>
        <v>0</v>
      </c>
      <c r="S68" s="20"/>
      <c r="T68" s="31"/>
      <c r="U68" s="32"/>
      <c r="V68" s="32"/>
      <c r="W68" s="31"/>
      <c r="X68" s="32"/>
      <c r="Y68" s="33"/>
    </row>
    <row r="69" spans="1:25" x14ac:dyDescent="0.2">
      <c r="A69" s="72"/>
      <c r="B69" s="72"/>
      <c r="C69" s="72">
        <v>32</v>
      </c>
      <c r="D69" s="25"/>
      <c r="E69" s="26"/>
      <c r="F69" s="26"/>
      <c r="G69" s="26"/>
      <c r="H69" s="26"/>
      <c r="I69" s="26"/>
      <c r="J69" s="27">
        <f t="shared" si="2"/>
        <v>0</v>
      </c>
      <c r="L69" s="25"/>
      <c r="M69" s="26"/>
      <c r="N69" s="26"/>
      <c r="O69" s="26"/>
      <c r="P69" s="26"/>
      <c r="Q69" s="26"/>
      <c r="R69" s="27">
        <f t="shared" si="3"/>
        <v>0</v>
      </c>
      <c r="S69" s="20"/>
      <c r="T69" s="31"/>
      <c r="U69" s="32"/>
      <c r="V69" s="32"/>
      <c r="W69" s="31"/>
      <c r="X69" s="32"/>
      <c r="Y69" s="33"/>
    </row>
    <row r="70" spans="1:25" ht="12.75" thickBot="1" x14ac:dyDescent="0.25">
      <c r="A70" s="79"/>
      <c r="B70" s="79"/>
      <c r="C70" s="79">
        <v>37</v>
      </c>
      <c r="D70" s="35"/>
      <c r="E70" s="36"/>
      <c r="F70" s="36"/>
      <c r="G70" s="36"/>
      <c r="H70" s="36"/>
      <c r="I70" s="36"/>
      <c r="J70" s="37">
        <f t="shared" si="2"/>
        <v>0</v>
      </c>
      <c r="L70" s="35"/>
      <c r="M70" s="36"/>
      <c r="N70" s="36"/>
      <c r="O70" s="36"/>
      <c r="P70" s="36"/>
      <c r="Q70" s="36"/>
      <c r="R70" s="37">
        <f t="shared" si="3"/>
        <v>0</v>
      </c>
      <c r="S70" s="20"/>
      <c r="T70" s="41"/>
      <c r="U70" s="42"/>
      <c r="V70" s="42"/>
      <c r="W70" s="41"/>
      <c r="X70" s="42"/>
      <c r="Y70" s="43"/>
    </row>
    <row r="71" spans="1:25" x14ac:dyDescent="0.2">
      <c r="A71" s="63" t="s">
        <v>25</v>
      </c>
      <c r="B71" s="63" t="s">
        <v>86</v>
      </c>
      <c r="C71" s="63">
        <v>22</v>
      </c>
      <c r="D71" s="14"/>
      <c r="E71" s="15"/>
      <c r="F71" s="15"/>
      <c r="G71" s="15"/>
      <c r="H71" s="15"/>
      <c r="I71" s="15"/>
      <c r="J71" s="16">
        <f t="shared" si="2"/>
        <v>0</v>
      </c>
      <c r="L71" s="14"/>
      <c r="M71" s="15"/>
      <c r="N71" s="15"/>
      <c r="O71" s="15"/>
      <c r="P71" s="15"/>
      <c r="Q71" s="15"/>
      <c r="R71" s="16">
        <f t="shared" si="3"/>
        <v>0</v>
      </c>
      <c r="S71" s="20"/>
      <c r="T71" s="21" t="e">
        <f>bdrate($D71:$D74,E71:E74,$L71:$L74,M71:M74)</f>
        <v>#VALUE!</v>
      </c>
      <c r="U71" s="22" t="e">
        <f>bdrate($D71:$D74,F71:F74,$L71:$L74,N71:N74)</f>
        <v>#VALUE!</v>
      </c>
      <c r="V71" s="22" t="e">
        <f>bdrate($D71:$D74,G71:G74,$L71:$L74,O71:O74)</f>
        <v>#VALUE!</v>
      </c>
      <c r="W71" s="44" t="e">
        <f>bdrateOld($D71:$D74,E71:E74,$L71:$L74,M71:M74)</f>
        <v>#VALUE!</v>
      </c>
      <c r="X71" s="45" t="e">
        <f>bdrateOld($D71:$D74,F71:F74,$L71:$L74,N71:N74)</f>
        <v>#VALUE!</v>
      </c>
      <c r="Y71" s="46" t="e">
        <f>bdrateOld($D71:$D74,G71:G74,$L71:$L74,O71:O74)</f>
        <v>#VALUE!</v>
      </c>
    </row>
    <row r="72" spans="1:25" x14ac:dyDescent="0.2">
      <c r="A72" s="72" t="s">
        <v>26</v>
      </c>
      <c r="B72" s="72"/>
      <c r="C72" s="72">
        <v>27</v>
      </c>
      <c r="D72" s="25"/>
      <c r="E72" s="26"/>
      <c r="F72" s="26"/>
      <c r="G72" s="26"/>
      <c r="H72" s="26"/>
      <c r="I72" s="26"/>
      <c r="J72" s="27">
        <f t="shared" si="2"/>
        <v>0</v>
      </c>
      <c r="L72" s="25"/>
      <c r="M72" s="26"/>
      <c r="N72" s="26"/>
      <c r="O72" s="26"/>
      <c r="P72" s="26"/>
      <c r="Q72" s="26"/>
      <c r="R72" s="27">
        <f t="shared" si="3"/>
        <v>0</v>
      </c>
      <c r="S72" s="20"/>
      <c r="T72" s="31"/>
      <c r="U72" s="32"/>
      <c r="V72" s="32"/>
      <c r="W72" s="31"/>
      <c r="X72" s="32"/>
      <c r="Y72" s="33"/>
    </row>
    <row r="73" spans="1:25" x14ac:dyDescent="0.2">
      <c r="A73" s="72"/>
      <c r="B73" s="72"/>
      <c r="C73" s="72">
        <v>32</v>
      </c>
      <c r="D73" s="25"/>
      <c r="E73" s="26"/>
      <c r="F73" s="26"/>
      <c r="G73" s="26"/>
      <c r="H73" s="26"/>
      <c r="I73" s="26"/>
      <c r="J73" s="27">
        <f t="shared" si="2"/>
        <v>0</v>
      </c>
      <c r="L73" s="25"/>
      <c r="M73" s="26"/>
      <c r="N73" s="26"/>
      <c r="O73" s="26"/>
      <c r="P73" s="26"/>
      <c r="Q73" s="26"/>
      <c r="R73" s="27">
        <f t="shared" si="3"/>
        <v>0</v>
      </c>
      <c r="S73" s="20"/>
      <c r="T73" s="31"/>
      <c r="U73" s="32"/>
      <c r="V73" s="32"/>
      <c r="W73" s="31"/>
      <c r="X73" s="32"/>
      <c r="Y73" s="33"/>
    </row>
    <row r="74" spans="1:25" ht="12.75" thickBot="1" x14ac:dyDescent="0.25">
      <c r="A74" s="72"/>
      <c r="B74" s="79"/>
      <c r="C74" s="79">
        <v>37</v>
      </c>
      <c r="D74" s="35"/>
      <c r="E74" s="36"/>
      <c r="F74" s="36"/>
      <c r="G74" s="36"/>
      <c r="H74" s="36"/>
      <c r="I74" s="36"/>
      <c r="J74" s="37">
        <f t="shared" si="2"/>
        <v>0</v>
      </c>
      <c r="L74" s="35"/>
      <c r="M74" s="36"/>
      <c r="N74" s="36"/>
      <c r="O74" s="36"/>
      <c r="P74" s="36"/>
      <c r="Q74" s="36"/>
      <c r="R74" s="37">
        <f t="shared" si="3"/>
        <v>0</v>
      </c>
      <c r="S74" s="20"/>
      <c r="T74" s="41"/>
      <c r="U74" s="42"/>
      <c r="V74" s="42"/>
      <c r="W74" s="41"/>
      <c r="X74" s="42"/>
      <c r="Y74" s="43"/>
    </row>
    <row r="75" spans="1:25" x14ac:dyDescent="0.2">
      <c r="A75" s="72"/>
      <c r="B75" s="63" t="s">
        <v>87</v>
      </c>
      <c r="C75" s="63">
        <v>22</v>
      </c>
      <c r="D75" s="14"/>
      <c r="E75" s="15"/>
      <c r="F75" s="15"/>
      <c r="G75" s="15"/>
      <c r="H75" s="15"/>
      <c r="I75" s="15"/>
      <c r="J75" s="16">
        <f t="shared" si="2"/>
        <v>0</v>
      </c>
      <c r="L75" s="14"/>
      <c r="M75" s="15"/>
      <c r="N75" s="15"/>
      <c r="O75" s="15"/>
      <c r="P75" s="15"/>
      <c r="Q75" s="15"/>
      <c r="R75" s="16">
        <f t="shared" si="3"/>
        <v>0</v>
      </c>
      <c r="S75" s="20"/>
      <c r="T75" s="21" t="e">
        <f>bdrate($D75:$D78,E75:E78,$L75:$L78,M75:M78)</f>
        <v>#VALUE!</v>
      </c>
      <c r="U75" s="22" t="e">
        <f>bdrate($D75:$D78,F75:F78,$L75:$L78,N75:N78)</f>
        <v>#VALUE!</v>
      </c>
      <c r="V75" s="22" t="e">
        <f>bdrate($D75:$D78,G75:G78,$L75:$L78,O75:O78)</f>
        <v>#VALUE!</v>
      </c>
      <c r="W75" s="44" t="e">
        <f>bdrateOld($D75:$D78,E75:E78,$L75:$L78,M75:M78)</f>
        <v>#VALUE!</v>
      </c>
      <c r="X75" s="45" t="e">
        <f>bdrateOld($D75:$D78,F75:F78,$L75:$L78,N75:N78)</f>
        <v>#VALUE!</v>
      </c>
      <c r="Y75" s="46" t="e">
        <f>bdrateOld($D75:$D78,G75:G78,$L75:$L78,O75:O78)</f>
        <v>#VALUE!</v>
      </c>
    </row>
    <row r="76" spans="1:25" x14ac:dyDescent="0.2">
      <c r="A76" s="72"/>
      <c r="B76" s="72"/>
      <c r="C76" s="72">
        <v>27</v>
      </c>
      <c r="D76" s="25"/>
      <c r="E76" s="26"/>
      <c r="F76" s="26"/>
      <c r="G76" s="26"/>
      <c r="H76" s="26"/>
      <c r="I76" s="26"/>
      <c r="J76" s="27">
        <f t="shared" si="2"/>
        <v>0</v>
      </c>
      <c r="L76" s="25"/>
      <c r="M76" s="26"/>
      <c r="N76" s="26"/>
      <c r="O76" s="26"/>
      <c r="P76" s="26"/>
      <c r="Q76" s="26"/>
      <c r="R76" s="27">
        <f t="shared" si="3"/>
        <v>0</v>
      </c>
      <c r="S76" s="20"/>
      <c r="T76" s="31"/>
      <c r="U76" s="32"/>
      <c r="V76" s="32"/>
      <c r="W76" s="31"/>
      <c r="X76" s="32"/>
      <c r="Y76" s="33"/>
    </row>
    <row r="77" spans="1:25" x14ac:dyDescent="0.2">
      <c r="A77" s="72"/>
      <c r="B77" s="72"/>
      <c r="C77" s="72">
        <v>32</v>
      </c>
      <c r="D77" s="25"/>
      <c r="E77" s="26"/>
      <c r="F77" s="26"/>
      <c r="G77" s="26"/>
      <c r="H77" s="26"/>
      <c r="I77" s="26"/>
      <c r="J77" s="27">
        <f t="shared" si="2"/>
        <v>0</v>
      </c>
      <c r="L77" s="25"/>
      <c r="M77" s="26"/>
      <c r="N77" s="26"/>
      <c r="O77" s="26"/>
      <c r="P77" s="26"/>
      <c r="Q77" s="26"/>
      <c r="R77" s="27">
        <f t="shared" si="3"/>
        <v>0</v>
      </c>
      <c r="S77" s="20"/>
      <c r="T77" s="31"/>
      <c r="U77" s="32"/>
      <c r="V77" s="32"/>
      <c r="W77" s="31"/>
      <c r="X77" s="32"/>
      <c r="Y77" s="33"/>
    </row>
    <row r="78" spans="1:25" ht="12.75" thickBot="1" x14ac:dyDescent="0.25">
      <c r="A78" s="72"/>
      <c r="B78" s="79"/>
      <c r="C78" s="79">
        <v>37</v>
      </c>
      <c r="D78" s="35"/>
      <c r="E78" s="36"/>
      <c r="F78" s="36"/>
      <c r="G78" s="36"/>
      <c r="H78" s="36"/>
      <c r="I78" s="36"/>
      <c r="J78" s="37">
        <f t="shared" si="2"/>
        <v>0</v>
      </c>
      <c r="L78" s="35"/>
      <c r="M78" s="36"/>
      <c r="N78" s="36"/>
      <c r="O78" s="36"/>
      <c r="P78" s="36"/>
      <c r="Q78" s="36"/>
      <c r="R78" s="37">
        <f t="shared" si="3"/>
        <v>0</v>
      </c>
      <c r="S78" s="20"/>
      <c r="T78" s="41"/>
      <c r="U78" s="42"/>
      <c r="V78" s="42"/>
      <c r="W78" s="41"/>
      <c r="X78" s="42"/>
      <c r="Y78" s="43"/>
    </row>
    <row r="79" spans="1:25" x14ac:dyDescent="0.2">
      <c r="A79" s="72"/>
      <c r="B79" s="63" t="s">
        <v>88</v>
      </c>
      <c r="C79" s="63">
        <v>22</v>
      </c>
      <c r="D79" s="14"/>
      <c r="E79" s="15"/>
      <c r="F79" s="15"/>
      <c r="G79" s="15"/>
      <c r="H79" s="15"/>
      <c r="I79" s="15"/>
      <c r="J79" s="16">
        <f t="shared" si="2"/>
        <v>0</v>
      </c>
      <c r="L79" s="14"/>
      <c r="M79" s="15"/>
      <c r="N79" s="15"/>
      <c r="O79" s="15"/>
      <c r="P79" s="15"/>
      <c r="Q79" s="15"/>
      <c r="R79" s="16">
        <f t="shared" si="3"/>
        <v>0</v>
      </c>
      <c r="S79" s="20"/>
      <c r="T79" s="21" t="e">
        <f>bdrate($D79:$D82,E79:E82,$L79:$L82,M79:M82)</f>
        <v>#VALUE!</v>
      </c>
      <c r="U79" s="22" t="e">
        <f>bdrate($D79:$D82,F79:F82,$L79:$L82,N79:N82)</f>
        <v>#VALUE!</v>
      </c>
      <c r="V79" s="22" t="e">
        <f>bdrate($D79:$D82,G79:G82,$L79:$L82,O79:O82)</f>
        <v>#VALUE!</v>
      </c>
      <c r="W79" s="44" t="e">
        <f>bdrateOld($D79:$D82,E79:E82,$L79:$L82,M79:M82)</f>
        <v>#VALUE!</v>
      </c>
      <c r="X79" s="45" t="e">
        <f>bdrateOld($D79:$D82,F79:F82,$L79:$L82,N79:N82)</f>
        <v>#VALUE!</v>
      </c>
      <c r="Y79" s="46" t="e">
        <f>bdrateOld($D79:$D82,G79:G82,$L79:$L82,O79:O82)</f>
        <v>#VALUE!</v>
      </c>
    </row>
    <row r="80" spans="1:25" x14ac:dyDescent="0.2">
      <c r="A80" s="72"/>
      <c r="B80" s="72"/>
      <c r="C80" s="72">
        <v>27</v>
      </c>
      <c r="D80" s="25"/>
      <c r="E80" s="26"/>
      <c r="F80" s="26"/>
      <c r="G80" s="26"/>
      <c r="H80" s="26"/>
      <c r="I80" s="26"/>
      <c r="J80" s="27">
        <f t="shared" si="2"/>
        <v>0</v>
      </c>
      <c r="L80" s="25"/>
      <c r="M80" s="26"/>
      <c r="N80" s="26"/>
      <c r="O80" s="26"/>
      <c r="P80" s="26"/>
      <c r="Q80" s="26"/>
      <c r="R80" s="27">
        <f t="shared" si="3"/>
        <v>0</v>
      </c>
      <c r="S80" s="20"/>
      <c r="T80" s="31"/>
      <c r="U80" s="32"/>
      <c r="V80" s="32"/>
      <c r="W80" s="31"/>
      <c r="X80" s="32"/>
      <c r="Y80" s="33"/>
    </row>
    <row r="81" spans="1:25" x14ac:dyDescent="0.2">
      <c r="A81" s="72"/>
      <c r="B81" s="72"/>
      <c r="C81" s="72">
        <v>32</v>
      </c>
      <c r="D81" s="25"/>
      <c r="E81" s="26"/>
      <c r="F81" s="26"/>
      <c r="G81" s="26"/>
      <c r="H81" s="26"/>
      <c r="I81" s="26"/>
      <c r="J81" s="27">
        <f t="shared" si="2"/>
        <v>0</v>
      </c>
      <c r="L81" s="25"/>
      <c r="M81" s="26"/>
      <c r="N81" s="26"/>
      <c r="O81" s="26"/>
      <c r="P81" s="26"/>
      <c r="Q81" s="26"/>
      <c r="R81" s="27">
        <f t="shared" si="3"/>
        <v>0</v>
      </c>
      <c r="S81" s="20"/>
      <c r="T81" s="31"/>
      <c r="U81" s="32"/>
      <c r="V81" s="32"/>
      <c r="W81" s="31"/>
      <c r="X81" s="32"/>
      <c r="Y81" s="33"/>
    </row>
    <row r="82" spans="1:25" ht="12.75" thickBot="1" x14ac:dyDescent="0.25">
      <c r="A82" s="79"/>
      <c r="B82" s="79"/>
      <c r="C82" s="79">
        <v>37</v>
      </c>
      <c r="D82" s="35"/>
      <c r="E82" s="36"/>
      <c r="F82" s="36"/>
      <c r="G82" s="36"/>
      <c r="H82" s="36"/>
      <c r="I82" s="36"/>
      <c r="J82" s="37">
        <f t="shared" si="2"/>
        <v>0</v>
      </c>
      <c r="L82" s="35"/>
      <c r="M82" s="36"/>
      <c r="N82" s="36"/>
      <c r="O82" s="36"/>
      <c r="P82" s="36"/>
      <c r="Q82" s="36"/>
      <c r="R82" s="37">
        <f t="shared" si="3"/>
        <v>0</v>
      </c>
      <c r="S82" s="20"/>
      <c r="T82" s="41"/>
      <c r="U82" s="42"/>
      <c r="V82" s="42"/>
      <c r="W82" s="41"/>
      <c r="X82" s="42"/>
      <c r="Y82" s="43"/>
    </row>
    <row r="83" spans="1:25" x14ac:dyDescent="0.2">
      <c r="A83" s="63" t="s">
        <v>61</v>
      </c>
      <c r="B83" s="63" t="s">
        <v>62</v>
      </c>
      <c r="C83" s="63">
        <v>22</v>
      </c>
      <c r="D83" s="14"/>
      <c r="E83" s="15"/>
      <c r="F83" s="15"/>
      <c r="G83" s="15"/>
      <c r="H83" s="15"/>
      <c r="I83" s="15"/>
      <c r="J83" s="16">
        <f t="shared" si="2"/>
        <v>0</v>
      </c>
      <c r="L83" s="14"/>
      <c r="M83" s="15"/>
      <c r="N83" s="15"/>
      <c r="O83" s="15"/>
      <c r="P83" s="15"/>
      <c r="Q83" s="15"/>
      <c r="R83" s="16">
        <f t="shared" si="3"/>
        <v>0</v>
      </c>
      <c r="S83" s="20"/>
      <c r="T83" s="21" t="e">
        <f>bdrate($D83:$D86,E83:E86,$L83:$L86,M83:M86)</f>
        <v>#VALUE!</v>
      </c>
      <c r="U83" s="22" t="e">
        <f>bdrate($D83:$D86,F83:F86,$L83:$L86,N83:N86)</f>
        <v>#VALUE!</v>
      </c>
      <c r="V83" s="22" t="e">
        <f>bdrate($D83:$D86,G83:G86,$L83:$L86,O83:O86)</f>
        <v>#VALUE!</v>
      </c>
      <c r="W83" s="44" t="e">
        <f>bdrateOld($D83:$D86,E83:E86,$L83:$L86,M83:M86)</f>
        <v>#VALUE!</v>
      </c>
      <c r="X83" s="45" t="e">
        <f>bdrateOld($D83:$D86,F83:F86,$L83:$L86,N83:N86)</f>
        <v>#VALUE!</v>
      </c>
      <c r="Y83" s="46" t="e">
        <f>bdrateOld($D83:$D86,G83:G86,$L83:$L86,O83:O86)</f>
        <v>#VALUE!</v>
      </c>
    </row>
    <row r="84" spans="1:25" x14ac:dyDescent="0.2">
      <c r="A84" s="72"/>
      <c r="B84" s="72"/>
      <c r="C84" s="72">
        <v>27</v>
      </c>
      <c r="D84" s="25"/>
      <c r="E84" s="26"/>
      <c r="F84" s="26"/>
      <c r="G84" s="26"/>
      <c r="H84" s="26"/>
      <c r="I84" s="26"/>
      <c r="J84" s="27">
        <f t="shared" si="2"/>
        <v>0</v>
      </c>
      <c r="L84" s="25"/>
      <c r="M84" s="26"/>
      <c r="N84" s="26"/>
      <c r="O84" s="26"/>
      <c r="P84" s="26"/>
      <c r="Q84" s="26"/>
      <c r="R84" s="27">
        <f t="shared" si="3"/>
        <v>0</v>
      </c>
      <c r="S84" s="20"/>
      <c r="T84" s="31"/>
      <c r="U84" s="32"/>
      <c r="V84" s="32"/>
      <c r="W84" s="31"/>
      <c r="X84" s="32"/>
      <c r="Y84" s="33"/>
    </row>
    <row r="85" spans="1:25" x14ac:dyDescent="0.2">
      <c r="A85" s="72"/>
      <c r="B85" s="72"/>
      <c r="C85" s="72">
        <v>32</v>
      </c>
      <c r="D85" s="25"/>
      <c r="E85" s="26"/>
      <c r="F85" s="26"/>
      <c r="G85" s="26"/>
      <c r="H85" s="26"/>
      <c r="I85" s="26"/>
      <c r="J85" s="27">
        <f t="shared" si="2"/>
        <v>0</v>
      </c>
      <c r="L85" s="25"/>
      <c r="M85" s="26"/>
      <c r="N85" s="26"/>
      <c r="O85" s="26"/>
      <c r="P85" s="26"/>
      <c r="Q85" s="26"/>
      <c r="R85" s="27">
        <f t="shared" si="3"/>
        <v>0</v>
      </c>
      <c r="S85" s="20"/>
      <c r="T85" s="31"/>
      <c r="U85" s="32"/>
      <c r="V85" s="32"/>
      <c r="W85" s="31"/>
      <c r="X85" s="32"/>
      <c r="Y85" s="33"/>
    </row>
    <row r="86" spans="1:25" ht="12.75" thickBot="1" x14ac:dyDescent="0.25">
      <c r="A86" s="72"/>
      <c r="B86" s="79"/>
      <c r="C86" s="79">
        <v>37</v>
      </c>
      <c r="D86" s="35"/>
      <c r="E86" s="36"/>
      <c r="F86" s="36"/>
      <c r="G86" s="36"/>
      <c r="H86" s="36"/>
      <c r="I86" s="36"/>
      <c r="J86" s="37">
        <f t="shared" si="2"/>
        <v>0</v>
      </c>
      <c r="L86" s="35"/>
      <c r="M86" s="36"/>
      <c r="N86" s="36"/>
      <c r="O86" s="36"/>
      <c r="P86" s="36"/>
      <c r="Q86" s="36"/>
      <c r="R86" s="37">
        <f t="shared" si="3"/>
        <v>0</v>
      </c>
      <c r="S86" s="20"/>
      <c r="T86" s="41"/>
      <c r="U86" s="42"/>
      <c r="V86" s="42"/>
      <c r="W86" s="41"/>
      <c r="X86" s="42"/>
      <c r="Y86" s="43"/>
    </row>
    <row r="87" spans="1:25" x14ac:dyDescent="0.2">
      <c r="A87" s="72"/>
      <c r="B87" s="63" t="s">
        <v>63</v>
      </c>
      <c r="C87" s="63">
        <v>22</v>
      </c>
      <c r="D87" s="14"/>
      <c r="E87" s="15"/>
      <c r="F87" s="15"/>
      <c r="G87" s="15"/>
      <c r="H87" s="15"/>
      <c r="I87" s="15"/>
      <c r="J87" s="16">
        <f t="shared" si="2"/>
        <v>0</v>
      </c>
      <c r="L87" s="14"/>
      <c r="M87" s="15"/>
      <c r="N87" s="15"/>
      <c r="O87" s="15"/>
      <c r="P87" s="15"/>
      <c r="Q87" s="15"/>
      <c r="R87" s="16">
        <f t="shared" si="3"/>
        <v>0</v>
      </c>
      <c r="S87" s="20"/>
      <c r="T87" s="21" t="e">
        <f>bdrate($D87:$D90,E87:E90,$L87:$L90,M87:M90)</f>
        <v>#VALUE!</v>
      </c>
      <c r="U87" s="22" t="e">
        <f>bdrate($D87:$D90,F87:F90,$L87:$L90,N87:N90)</f>
        <v>#VALUE!</v>
      </c>
      <c r="V87" s="22" t="e">
        <f>bdrate($D87:$D90,G87:G90,$L87:$L90,O87:O90)</f>
        <v>#VALUE!</v>
      </c>
      <c r="W87" s="44" t="e">
        <f>bdrateOld($D87:$D90,E87:E90,$L87:$L90,M87:M90)</f>
        <v>#VALUE!</v>
      </c>
      <c r="X87" s="45" t="e">
        <f>bdrateOld($D87:$D90,F87:F90,$L87:$L90,N87:N90)</f>
        <v>#VALUE!</v>
      </c>
      <c r="Y87" s="46" t="e">
        <f>bdrateOld($D87:$D90,G87:G90,$L87:$L90,O87:O90)</f>
        <v>#VALUE!</v>
      </c>
    </row>
    <row r="88" spans="1:25" x14ac:dyDescent="0.2">
      <c r="A88" s="72"/>
      <c r="B88" s="72"/>
      <c r="C88" s="72">
        <v>27</v>
      </c>
      <c r="D88" s="25"/>
      <c r="E88" s="26"/>
      <c r="F88" s="26"/>
      <c r="G88" s="26"/>
      <c r="H88" s="26"/>
      <c r="I88" s="26"/>
      <c r="J88" s="27">
        <f t="shared" si="2"/>
        <v>0</v>
      </c>
      <c r="L88" s="25"/>
      <c r="M88" s="26"/>
      <c r="N88" s="26"/>
      <c r="O88" s="26"/>
      <c r="P88" s="26"/>
      <c r="Q88" s="26"/>
      <c r="R88" s="27">
        <f t="shared" si="3"/>
        <v>0</v>
      </c>
      <c r="S88" s="20"/>
      <c r="T88" s="31"/>
      <c r="U88" s="32"/>
      <c r="V88" s="32"/>
      <c r="W88" s="31"/>
      <c r="X88" s="32"/>
      <c r="Y88" s="33"/>
    </row>
    <row r="89" spans="1:25" x14ac:dyDescent="0.2">
      <c r="A89" s="72"/>
      <c r="B89" s="72"/>
      <c r="C89" s="72">
        <v>32</v>
      </c>
      <c r="D89" s="25"/>
      <c r="E89" s="26"/>
      <c r="F89" s="26"/>
      <c r="G89" s="26"/>
      <c r="H89" s="26"/>
      <c r="I89" s="26"/>
      <c r="J89" s="27">
        <f t="shared" si="2"/>
        <v>0</v>
      </c>
      <c r="L89" s="25"/>
      <c r="M89" s="26"/>
      <c r="N89" s="26"/>
      <c r="O89" s="26"/>
      <c r="P89" s="26"/>
      <c r="Q89" s="26"/>
      <c r="R89" s="27">
        <f t="shared" si="3"/>
        <v>0</v>
      </c>
      <c r="S89" s="20"/>
      <c r="T89" s="31"/>
      <c r="U89" s="32"/>
      <c r="V89" s="32"/>
      <c r="W89" s="31"/>
      <c r="X89" s="32"/>
      <c r="Y89" s="33"/>
    </row>
    <row r="90" spans="1:25" ht="12.75" thickBot="1" x14ac:dyDescent="0.25">
      <c r="A90" s="72"/>
      <c r="B90" s="79"/>
      <c r="C90" s="79">
        <v>37</v>
      </c>
      <c r="D90" s="35"/>
      <c r="E90" s="36"/>
      <c r="F90" s="36"/>
      <c r="G90" s="36"/>
      <c r="H90" s="36"/>
      <c r="I90" s="36"/>
      <c r="J90" s="37">
        <f t="shared" si="2"/>
        <v>0</v>
      </c>
      <c r="L90" s="35"/>
      <c r="M90" s="36"/>
      <c r="N90" s="36"/>
      <c r="O90" s="36"/>
      <c r="P90" s="36"/>
      <c r="Q90" s="36"/>
      <c r="R90" s="37">
        <f t="shared" si="3"/>
        <v>0</v>
      </c>
      <c r="S90" s="20"/>
      <c r="T90" s="41"/>
      <c r="U90" s="42"/>
      <c r="V90" s="42"/>
      <c r="W90" s="41"/>
      <c r="X90" s="42"/>
      <c r="Y90" s="43"/>
    </row>
    <row r="91" spans="1:25" x14ac:dyDescent="0.2">
      <c r="A91" s="72"/>
      <c r="B91" s="63" t="s">
        <v>64</v>
      </c>
      <c r="C91" s="63">
        <v>22</v>
      </c>
      <c r="D91" s="14"/>
      <c r="E91" s="15"/>
      <c r="F91" s="15"/>
      <c r="G91" s="15"/>
      <c r="H91" s="15"/>
      <c r="I91" s="15"/>
      <c r="J91" s="16">
        <f t="shared" si="2"/>
        <v>0</v>
      </c>
      <c r="L91" s="14"/>
      <c r="M91" s="15"/>
      <c r="N91" s="15"/>
      <c r="O91" s="15"/>
      <c r="P91" s="15"/>
      <c r="Q91" s="15"/>
      <c r="R91" s="16">
        <f t="shared" si="3"/>
        <v>0</v>
      </c>
      <c r="S91" s="20"/>
      <c r="T91" s="21" t="e">
        <f>bdrate($D91:$D94,E91:E94,$L91:$L94,M91:M94)</f>
        <v>#VALUE!</v>
      </c>
      <c r="U91" s="22" t="e">
        <f>bdrate($D91:$D94,F91:F94,$L91:$L94,N91:N94)</f>
        <v>#VALUE!</v>
      </c>
      <c r="V91" s="22" t="e">
        <f>bdrate($D91:$D94,G91:G94,$L91:$L94,O91:O94)</f>
        <v>#VALUE!</v>
      </c>
      <c r="W91" s="44" t="e">
        <f>bdrateOld($D91:$D94,E91:E94,$L91:$L94,M91:M94)</f>
        <v>#VALUE!</v>
      </c>
      <c r="X91" s="45" t="e">
        <f>bdrateOld($D91:$D94,F91:F94,$L91:$L94,N91:N94)</f>
        <v>#VALUE!</v>
      </c>
      <c r="Y91" s="46" t="e">
        <f>bdrateOld($D91:$D94,G91:G94,$L91:$L94,O91:O94)</f>
        <v>#VALUE!</v>
      </c>
    </row>
    <row r="92" spans="1:25" x14ac:dyDescent="0.2">
      <c r="A92" s="72"/>
      <c r="B92" s="72"/>
      <c r="C92" s="72">
        <v>27</v>
      </c>
      <c r="D92" s="25"/>
      <c r="E92" s="26"/>
      <c r="F92" s="26"/>
      <c r="G92" s="26"/>
      <c r="H92" s="26"/>
      <c r="I92" s="26"/>
      <c r="J92" s="27">
        <f t="shared" si="2"/>
        <v>0</v>
      </c>
      <c r="L92" s="25"/>
      <c r="M92" s="26"/>
      <c r="N92" s="26"/>
      <c r="O92" s="26"/>
      <c r="P92" s="26"/>
      <c r="Q92" s="26"/>
      <c r="R92" s="27">
        <f t="shared" si="3"/>
        <v>0</v>
      </c>
      <c r="S92" s="20"/>
      <c r="T92" s="31"/>
      <c r="U92" s="32"/>
      <c r="V92" s="32"/>
      <c r="W92" s="31"/>
      <c r="X92" s="32"/>
      <c r="Y92" s="33"/>
    </row>
    <row r="93" spans="1:25" x14ac:dyDescent="0.2">
      <c r="A93" s="72"/>
      <c r="B93" s="72"/>
      <c r="C93" s="72">
        <v>32</v>
      </c>
      <c r="D93" s="25"/>
      <c r="E93" s="26"/>
      <c r="F93" s="26"/>
      <c r="G93" s="26"/>
      <c r="H93" s="26"/>
      <c r="I93" s="26"/>
      <c r="J93" s="27">
        <f t="shared" si="2"/>
        <v>0</v>
      </c>
      <c r="L93" s="25"/>
      <c r="M93" s="26"/>
      <c r="N93" s="26"/>
      <c r="O93" s="26"/>
      <c r="P93" s="26"/>
      <c r="Q93" s="26"/>
      <c r="R93" s="27">
        <f t="shared" si="3"/>
        <v>0</v>
      </c>
      <c r="S93" s="20"/>
      <c r="T93" s="31"/>
      <c r="U93" s="32"/>
      <c r="V93" s="32"/>
      <c r="W93" s="31"/>
      <c r="X93" s="32"/>
      <c r="Y93" s="33"/>
    </row>
    <row r="94" spans="1:25" ht="12.75" thickBot="1" x14ac:dyDescent="0.25">
      <c r="A94" s="72"/>
      <c r="B94" s="79"/>
      <c r="C94" s="79">
        <v>37</v>
      </c>
      <c r="D94" s="35"/>
      <c r="E94" s="36"/>
      <c r="F94" s="36"/>
      <c r="G94" s="36"/>
      <c r="H94" s="36"/>
      <c r="I94" s="36"/>
      <c r="J94" s="37">
        <f t="shared" si="2"/>
        <v>0</v>
      </c>
      <c r="L94" s="35"/>
      <c r="M94" s="36"/>
      <c r="N94" s="36"/>
      <c r="O94" s="36"/>
      <c r="P94" s="36"/>
      <c r="Q94" s="36"/>
      <c r="R94" s="37">
        <f t="shared" si="3"/>
        <v>0</v>
      </c>
      <c r="S94" s="20"/>
      <c r="T94" s="41"/>
      <c r="U94" s="42"/>
      <c r="V94" s="42"/>
      <c r="W94" s="41"/>
      <c r="X94" s="42"/>
      <c r="Y94" s="43"/>
    </row>
    <row r="95" spans="1:25" x14ac:dyDescent="0.2">
      <c r="A95" s="72"/>
      <c r="B95" s="63" t="s">
        <v>65</v>
      </c>
      <c r="C95" s="63">
        <v>22</v>
      </c>
      <c r="D95" s="14"/>
      <c r="E95" s="15"/>
      <c r="F95" s="15"/>
      <c r="G95" s="15"/>
      <c r="H95" s="15"/>
      <c r="I95" s="15"/>
      <c r="J95" s="16">
        <f t="shared" si="2"/>
        <v>0</v>
      </c>
      <c r="L95" s="14"/>
      <c r="M95" s="15"/>
      <c r="N95" s="15"/>
      <c r="O95" s="15"/>
      <c r="P95" s="15"/>
      <c r="Q95" s="15"/>
      <c r="R95" s="16">
        <f t="shared" si="3"/>
        <v>0</v>
      </c>
      <c r="S95" s="20"/>
      <c r="T95" s="21" t="e">
        <f>bdrate($D95:$D98,E95:E98,$L95:$L98,M95:M98)</f>
        <v>#VALUE!</v>
      </c>
      <c r="U95" s="22" t="e">
        <f>bdrate($D95:$D98,F95:F98,$L95:$L98,N95:N98)</f>
        <v>#VALUE!</v>
      </c>
      <c r="V95" s="22" t="e">
        <f>bdrate($D95:$D98,G95:G98,$L95:$L98,O95:O98)</f>
        <v>#VALUE!</v>
      </c>
      <c r="W95" s="44" t="e">
        <f>bdrateOld($D95:$D98,E95:E98,$L95:$L98,M95:M98)</f>
        <v>#VALUE!</v>
      </c>
      <c r="X95" s="45" t="e">
        <f>bdrateOld($D95:$D98,F95:F98,$L95:$L98,N95:N98)</f>
        <v>#VALUE!</v>
      </c>
      <c r="Y95" s="46" t="e">
        <f>bdrateOld($D95:$D98,G95:G98,$L95:$L98,O95:O98)</f>
        <v>#VALUE!</v>
      </c>
    </row>
    <row r="96" spans="1:25" x14ac:dyDescent="0.2">
      <c r="A96" s="72"/>
      <c r="B96" s="72"/>
      <c r="C96" s="72">
        <v>27</v>
      </c>
      <c r="D96" s="25"/>
      <c r="E96" s="26"/>
      <c r="F96" s="26"/>
      <c r="G96" s="26"/>
      <c r="H96" s="26"/>
      <c r="I96" s="26"/>
      <c r="J96" s="27">
        <f t="shared" si="2"/>
        <v>0</v>
      </c>
      <c r="L96" s="25"/>
      <c r="M96" s="26"/>
      <c r="N96" s="26"/>
      <c r="O96" s="26"/>
      <c r="P96" s="26"/>
      <c r="Q96" s="26"/>
      <c r="R96" s="27">
        <f t="shared" si="3"/>
        <v>0</v>
      </c>
      <c r="S96" s="20"/>
      <c r="T96" s="31"/>
      <c r="U96" s="32"/>
      <c r="V96" s="32"/>
      <c r="W96" s="31"/>
      <c r="X96" s="32"/>
      <c r="Y96" s="33"/>
    </row>
    <row r="97" spans="1:25" x14ac:dyDescent="0.2">
      <c r="A97" s="72"/>
      <c r="B97" s="72"/>
      <c r="C97" s="72">
        <v>32</v>
      </c>
      <c r="D97" s="25"/>
      <c r="E97" s="26"/>
      <c r="F97" s="26"/>
      <c r="G97" s="26"/>
      <c r="H97" s="26"/>
      <c r="I97" s="26"/>
      <c r="J97" s="27">
        <f t="shared" si="2"/>
        <v>0</v>
      </c>
      <c r="L97" s="25"/>
      <c r="M97" s="26"/>
      <c r="N97" s="26"/>
      <c r="O97" s="26"/>
      <c r="P97" s="26"/>
      <c r="Q97" s="26"/>
      <c r="R97" s="27">
        <f t="shared" si="3"/>
        <v>0</v>
      </c>
      <c r="S97" s="20"/>
      <c r="T97" s="31"/>
      <c r="U97" s="32"/>
      <c r="V97" s="32"/>
      <c r="W97" s="31"/>
      <c r="X97" s="32"/>
      <c r="Y97" s="33"/>
    </row>
    <row r="98" spans="1:25" ht="12.75" thickBot="1" x14ac:dyDescent="0.25">
      <c r="A98" s="79"/>
      <c r="B98" s="79"/>
      <c r="C98" s="79">
        <v>37</v>
      </c>
      <c r="D98" s="35"/>
      <c r="E98" s="36"/>
      <c r="F98" s="36"/>
      <c r="G98" s="36"/>
      <c r="H98" s="36"/>
      <c r="I98" s="36"/>
      <c r="J98" s="37">
        <f t="shared" si="2"/>
        <v>0</v>
      </c>
      <c r="L98" s="35"/>
      <c r="M98" s="36"/>
      <c r="N98" s="36"/>
      <c r="O98" s="36"/>
      <c r="P98" s="36"/>
      <c r="Q98" s="36"/>
      <c r="R98" s="37">
        <f t="shared" si="3"/>
        <v>0</v>
      </c>
      <c r="S98" s="20"/>
      <c r="T98" s="31"/>
      <c r="U98" s="32"/>
      <c r="V98" s="32"/>
      <c r="W98" s="31"/>
      <c r="X98" s="32"/>
      <c r="Y98" s="33"/>
    </row>
    <row r="99" spans="1:25" x14ac:dyDescent="0.2">
      <c r="B99" s="1" t="s">
        <v>2</v>
      </c>
      <c r="T99" s="21"/>
      <c r="U99" s="22"/>
      <c r="V99" s="22"/>
      <c r="W99" s="21"/>
      <c r="X99" s="22"/>
      <c r="Y99" s="23"/>
    </row>
    <row r="100" spans="1:25" x14ac:dyDescent="0.2">
      <c r="B100" s="1" t="s">
        <v>7</v>
      </c>
      <c r="T100" s="44" t="e">
        <f t="shared" ref="T100:Y100" si="4">AVERAGE(T19,T23,T27,T31,T35)</f>
        <v>#VALUE!</v>
      </c>
      <c r="U100" s="45" t="e">
        <f t="shared" si="4"/>
        <v>#VALUE!</v>
      </c>
      <c r="V100" s="45" t="e">
        <f t="shared" si="4"/>
        <v>#VALUE!</v>
      </c>
      <c r="W100" s="44" t="e">
        <f t="shared" si="4"/>
        <v>#VALUE!</v>
      </c>
      <c r="X100" s="45" t="e">
        <f t="shared" si="4"/>
        <v>#VALUE!</v>
      </c>
      <c r="Y100" s="46" t="e">
        <f t="shared" si="4"/>
        <v>#VALUE!</v>
      </c>
    </row>
    <row r="101" spans="1:25" x14ac:dyDescent="0.2">
      <c r="B101" s="1" t="s">
        <v>14</v>
      </c>
      <c r="T101" s="44" t="e">
        <f t="shared" ref="T101:Y101" si="5">AVERAGE(T39,T43,T47,T51)</f>
        <v>#VALUE!</v>
      </c>
      <c r="U101" s="45" t="e">
        <f t="shared" si="5"/>
        <v>#VALUE!</v>
      </c>
      <c r="V101" s="45" t="e">
        <f t="shared" si="5"/>
        <v>#VALUE!</v>
      </c>
      <c r="W101" s="44" t="e">
        <f t="shared" si="5"/>
        <v>#VALUE!</v>
      </c>
      <c r="X101" s="45" t="e">
        <f t="shared" si="5"/>
        <v>#VALUE!</v>
      </c>
      <c r="Y101" s="46" t="e">
        <f t="shared" si="5"/>
        <v>#VALUE!</v>
      </c>
    </row>
    <row r="102" spans="1:25" x14ac:dyDescent="0.2">
      <c r="B102" s="1" t="s">
        <v>20</v>
      </c>
      <c r="T102" s="44" t="e">
        <f t="shared" ref="T102:Y102" si="6">AVERAGE(T55,T59,T63,T67)</f>
        <v>#VALUE!</v>
      </c>
      <c r="U102" s="45" t="e">
        <f t="shared" si="6"/>
        <v>#VALUE!</v>
      </c>
      <c r="V102" s="45" t="e">
        <f t="shared" si="6"/>
        <v>#VALUE!</v>
      </c>
      <c r="W102" s="44" t="e">
        <f t="shared" si="6"/>
        <v>#VALUE!</v>
      </c>
      <c r="X102" s="45" t="e">
        <f t="shared" si="6"/>
        <v>#VALUE!</v>
      </c>
      <c r="Y102" s="46" t="e">
        <f t="shared" si="6"/>
        <v>#VALUE!</v>
      </c>
    </row>
    <row r="103" spans="1:25" x14ac:dyDescent="0.2">
      <c r="B103" s="1" t="s">
        <v>27</v>
      </c>
      <c r="T103" s="44" t="e">
        <f t="shared" ref="T103:Y103" si="7">AVERAGE(T71,T75,T79)</f>
        <v>#VALUE!</v>
      </c>
      <c r="U103" s="45" t="e">
        <f t="shared" si="7"/>
        <v>#VALUE!</v>
      </c>
      <c r="V103" s="45" t="e">
        <f t="shared" si="7"/>
        <v>#VALUE!</v>
      </c>
      <c r="W103" s="44" t="e">
        <f t="shared" si="7"/>
        <v>#VALUE!</v>
      </c>
      <c r="X103" s="45" t="e">
        <f t="shared" si="7"/>
        <v>#VALUE!</v>
      </c>
      <c r="Y103" s="46" t="e">
        <f t="shared" si="7"/>
        <v>#VALUE!</v>
      </c>
    </row>
    <row r="104" spans="1:25" ht="12.75" thickBot="1" x14ac:dyDescent="0.25">
      <c r="B104" s="1" t="s">
        <v>66</v>
      </c>
      <c r="T104" s="48" t="e">
        <f t="shared" ref="T104:Y104" si="8">AVERAGE(T83,T87,T91,T95)</f>
        <v>#VALUE!</v>
      </c>
      <c r="U104" s="49" t="e">
        <f t="shared" si="8"/>
        <v>#VALUE!</v>
      </c>
      <c r="V104" s="49" t="e">
        <f t="shared" si="8"/>
        <v>#VALUE!</v>
      </c>
      <c r="W104" s="48" t="e">
        <f t="shared" si="8"/>
        <v>#VALUE!</v>
      </c>
      <c r="X104" s="49" t="e">
        <f t="shared" si="8"/>
        <v>#VALUE!</v>
      </c>
      <c r="Y104" s="50" t="e">
        <f t="shared" si="8"/>
        <v>#VALUE!</v>
      </c>
    </row>
    <row r="105" spans="1:25" ht="12.75" thickBot="1" x14ac:dyDescent="0.25">
      <c r="A105" s="3"/>
      <c r="B105" s="4" t="s">
        <v>28</v>
      </c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48" t="e">
        <f t="shared" ref="T105:Y105" si="9">AVERAGE(T3:T98)</f>
        <v>#VALUE!</v>
      </c>
      <c r="U105" s="49" t="e">
        <f t="shared" si="9"/>
        <v>#VALUE!</v>
      </c>
      <c r="V105" s="50" t="e">
        <f t="shared" si="9"/>
        <v>#VALUE!</v>
      </c>
      <c r="W105" s="49" t="e">
        <f t="shared" si="9"/>
        <v>#VALUE!</v>
      </c>
      <c r="X105" s="49" t="e">
        <f t="shared" si="9"/>
        <v>#VALUE!</v>
      </c>
      <c r="Y105" s="50" t="e">
        <f t="shared" si="9"/>
        <v>#VALUE!</v>
      </c>
    </row>
    <row r="106" spans="1:25" x14ac:dyDescent="0.2">
      <c r="B106" s="1" t="s">
        <v>29</v>
      </c>
      <c r="I106" s="54" t="e">
        <f>GEOMEAN(I3:I98)</f>
        <v>#NUM!</v>
      </c>
      <c r="J106" s="54" t="e">
        <f>GEOMEAN(J3:J98)</f>
        <v>#NUM!</v>
      </c>
      <c r="Q106" s="54" t="e">
        <f>GEOMEAN(Q3:Q98)</f>
        <v>#NUM!</v>
      </c>
      <c r="R106" s="54" t="e">
        <f>GEOMEAN(R3:R98)</f>
        <v>#NUM!</v>
      </c>
    </row>
    <row r="107" spans="1:25" x14ac:dyDescent="0.2">
      <c r="B107" s="1" t="s">
        <v>30</v>
      </c>
      <c r="Q107" s="55" t="e">
        <f>Q106/I106</f>
        <v>#NUM!</v>
      </c>
      <c r="R107" s="55" t="e">
        <f>R106/J106</f>
        <v>#NUM!</v>
      </c>
    </row>
    <row r="108" spans="1:25" x14ac:dyDescent="0.2">
      <c r="B108" s="1" t="s">
        <v>31</v>
      </c>
      <c r="I108" s="54">
        <f>SUM(I3:I98)/3600</f>
        <v>0</v>
      </c>
      <c r="J108" s="54">
        <f>SUM(J3:J98)</f>
        <v>0</v>
      </c>
      <c r="Q108" s="54">
        <f>SUM(Q3:Q98)/3600</f>
        <v>0</v>
      </c>
      <c r="R108" s="54">
        <f>SUM(R3:R98)</f>
        <v>0</v>
      </c>
    </row>
    <row r="111" spans="1:25" ht="12.75" thickBot="1" x14ac:dyDescent="0.25">
      <c r="B111" s="1" t="s">
        <v>71</v>
      </c>
      <c r="T111" s="48"/>
      <c r="U111" s="49"/>
      <c r="V111" s="49"/>
      <c r="W111" s="48"/>
      <c r="X111" s="49"/>
      <c r="Y111" s="50"/>
    </row>
    <row r="112" spans="1:25" ht="12.75" thickBot="1" x14ac:dyDescent="0.25">
      <c r="A112" s="3"/>
      <c r="B112" s="4" t="s">
        <v>72</v>
      </c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48" t="e">
        <f t="shared" ref="T112:Y112" si="10">AVERAGE(T3,T7,T19,T23,T27,T31,T35,T39,T43,T47,T51,T55,T59,T63,T67,T71,T75,T79)</f>
        <v>#VALUE!</v>
      </c>
      <c r="U112" s="49" t="e">
        <f t="shared" si="10"/>
        <v>#VALUE!</v>
      </c>
      <c r="V112" s="50" t="e">
        <f t="shared" si="10"/>
        <v>#VALUE!</v>
      </c>
      <c r="W112" s="49" t="e">
        <f t="shared" si="10"/>
        <v>#VALUE!</v>
      </c>
      <c r="X112" s="49" t="e">
        <f t="shared" si="10"/>
        <v>#VALUE!</v>
      </c>
      <c r="Y112" s="50" t="e">
        <f t="shared" si="10"/>
        <v>#VALUE!</v>
      </c>
    </row>
    <row r="113" spans="2:18" x14ac:dyDescent="0.2">
      <c r="B113" s="1" t="s">
        <v>29</v>
      </c>
      <c r="I113" s="54" t="e">
        <f>GEOMEAN(I19:I82)</f>
        <v>#NUM!</v>
      </c>
      <c r="J113" s="54" t="e">
        <f>GEOMEAN(J19:J82)</f>
        <v>#NUM!</v>
      </c>
      <c r="Q113" s="54" t="e">
        <f>GEOMEAN(Q19:Q82)</f>
        <v>#NUM!</v>
      </c>
      <c r="R113" s="54" t="e">
        <f>GEOMEAN(R19:R82)</f>
        <v>#NUM!</v>
      </c>
    </row>
    <row r="114" spans="2:18" x14ac:dyDescent="0.2">
      <c r="B114" s="1" t="s">
        <v>30</v>
      </c>
      <c r="Q114" s="55" t="e">
        <f>Q113/I113</f>
        <v>#NUM!</v>
      </c>
      <c r="R114" s="55" t="e">
        <f>R113/J113</f>
        <v>#NUM!</v>
      </c>
    </row>
  </sheetData>
  <mergeCells count="4">
    <mergeCell ref="D1:J1"/>
    <mergeCell ref="L1:R1"/>
    <mergeCell ref="T1:V1"/>
    <mergeCell ref="W1:Y1"/>
  </mergeCells>
  <phoneticPr fontId="2" type="noConversion"/>
  <conditionalFormatting sqref="W78:X78">
    <cfRule type="cellIs" dxfId="213" priority="55" operator="greaterThan">
      <formula>0.03</formula>
    </cfRule>
    <cfRule type="cellIs" dxfId="212" priority="56" stopIfTrue="1" operator="lessThan">
      <formula>-0.03</formula>
    </cfRule>
  </conditionalFormatting>
  <conditionalFormatting sqref="T3:V82">
    <cfRule type="cellIs" dxfId="211" priority="215" operator="greaterThan">
      <formula>0.03</formula>
    </cfRule>
    <cfRule type="cellIs" dxfId="210" priority="216" stopIfTrue="1" operator="lessThan">
      <formula>-0.03</formula>
    </cfRule>
  </conditionalFormatting>
  <conditionalFormatting sqref="W3">
    <cfRule type="cellIs" dxfId="209" priority="213" operator="greaterThan">
      <formula>0.03</formula>
    </cfRule>
    <cfRule type="cellIs" dxfId="208" priority="214" stopIfTrue="1" operator="lessThan">
      <formula>-0.03</formula>
    </cfRule>
  </conditionalFormatting>
  <conditionalFormatting sqref="X3">
    <cfRule type="cellIs" dxfId="207" priority="211" operator="greaterThan">
      <formula>0.03</formula>
    </cfRule>
    <cfRule type="cellIs" dxfId="206" priority="212" stopIfTrue="1" operator="lessThan">
      <formula>-0.03</formula>
    </cfRule>
  </conditionalFormatting>
  <conditionalFormatting sqref="Y3">
    <cfRule type="cellIs" dxfId="205" priority="209" operator="greaterThan">
      <formula>0.03</formula>
    </cfRule>
    <cfRule type="cellIs" dxfId="204" priority="210" stopIfTrue="1" operator="lessThan">
      <formula>-0.03</formula>
    </cfRule>
  </conditionalFormatting>
  <conditionalFormatting sqref="W7">
    <cfRule type="cellIs" dxfId="203" priority="207" operator="greaterThan">
      <formula>0.03</formula>
    </cfRule>
    <cfRule type="cellIs" dxfId="202" priority="208" stopIfTrue="1" operator="lessThan">
      <formula>-0.03</formula>
    </cfRule>
  </conditionalFormatting>
  <conditionalFormatting sqref="X7">
    <cfRule type="cellIs" dxfId="201" priority="205" operator="greaterThan">
      <formula>0.03</formula>
    </cfRule>
    <cfRule type="cellIs" dxfId="200" priority="206" stopIfTrue="1" operator="lessThan">
      <formula>-0.03</formula>
    </cfRule>
  </conditionalFormatting>
  <conditionalFormatting sqref="Y7">
    <cfRule type="cellIs" dxfId="199" priority="203" operator="greaterThan">
      <formula>0.03</formula>
    </cfRule>
    <cfRule type="cellIs" dxfId="198" priority="204" stopIfTrue="1" operator="lessThan">
      <formula>-0.03</formula>
    </cfRule>
  </conditionalFormatting>
  <conditionalFormatting sqref="W11">
    <cfRule type="cellIs" dxfId="197" priority="201" operator="greaterThan">
      <formula>0.03</formula>
    </cfRule>
    <cfRule type="cellIs" dxfId="196" priority="202" stopIfTrue="1" operator="lessThan">
      <formula>-0.03</formula>
    </cfRule>
  </conditionalFormatting>
  <conditionalFormatting sqref="X11">
    <cfRule type="cellIs" dxfId="195" priority="199" operator="greaterThan">
      <formula>0.03</formula>
    </cfRule>
    <cfRule type="cellIs" dxfId="194" priority="200" stopIfTrue="1" operator="lessThan">
      <formula>-0.03</formula>
    </cfRule>
  </conditionalFormatting>
  <conditionalFormatting sqref="Y11">
    <cfRule type="cellIs" dxfId="193" priority="197" operator="greaterThan">
      <formula>0.03</formula>
    </cfRule>
    <cfRule type="cellIs" dxfId="192" priority="198" stopIfTrue="1" operator="lessThan">
      <formula>-0.03</formula>
    </cfRule>
  </conditionalFormatting>
  <conditionalFormatting sqref="W15">
    <cfRule type="cellIs" dxfId="191" priority="195" operator="greaterThan">
      <formula>0.03</formula>
    </cfRule>
    <cfRule type="cellIs" dxfId="190" priority="196" stopIfTrue="1" operator="lessThan">
      <formula>-0.03</formula>
    </cfRule>
  </conditionalFormatting>
  <conditionalFormatting sqref="X15">
    <cfRule type="cellIs" dxfId="189" priority="193" operator="greaterThan">
      <formula>0.03</formula>
    </cfRule>
    <cfRule type="cellIs" dxfId="188" priority="194" stopIfTrue="1" operator="lessThan">
      <formula>-0.03</formula>
    </cfRule>
  </conditionalFormatting>
  <conditionalFormatting sqref="Y15">
    <cfRule type="cellIs" dxfId="187" priority="191" operator="greaterThan">
      <formula>0.03</formula>
    </cfRule>
    <cfRule type="cellIs" dxfId="186" priority="192" stopIfTrue="1" operator="lessThan">
      <formula>-0.03</formula>
    </cfRule>
  </conditionalFormatting>
  <conditionalFormatting sqref="W19">
    <cfRule type="cellIs" dxfId="185" priority="189" operator="greaterThan">
      <formula>0.03</formula>
    </cfRule>
    <cfRule type="cellIs" dxfId="184" priority="190" stopIfTrue="1" operator="lessThan">
      <formula>-0.03</formula>
    </cfRule>
  </conditionalFormatting>
  <conditionalFormatting sqref="X19">
    <cfRule type="cellIs" dxfId="183" priority="187" operator="greaterThan">
      <formula>0.03</formula>
    </cfRule>
    <cfRule type="cellIs" dxfId="182" priority="188" stopIfTrue="1" operator="lessThan">
      <formula>-0.03</formula>
    </cfRule>
  </conditionalFormatting>
  <conditionalFormatting sqref="Y19">
    <cfRule type="cellIs" dxfId="181" priority="185" operator="greaterThan">
      <formula>0.03</formula>
    </cfRule>
    <cfRule type="cellIs" dxfId="180" priority="186" stopIfTrue="1" operator="lessThan">
      <formula>-0.03</formula>
    </cfRule>
  </conditionalFormatting>
  <conditionalFormatting sqref="W23">
    <cfRule type="cellIs" dxfId="179" priority="183" operator="greaterThan">
      <formula>0.03</formula>
    </cfRule>
    <cfRule type="cellIs" dxfId="178" priority="184" stopIfTrue="1" operator="lessThan">
      <formula>-0.03</formula>
    </cfRule>
  </conditionalFormatting>
  <conditionalFormatting sqref="X23">
    <cfRule type="cellIs" dxfId="177" priority="181" operator="greaterThan">
      <formula>0.03</formula>
    </cfRule>
    <cfRule type="cellIs" dxfId="176" priority="182" stopIfTrue="1" operator="lessThan">
      <formula>-0.03</formula>
    </cfRule>
  </conditionalFormatting>
  <conditionalFormatting sqref="Y23">
    <cfRule type="cellIs" dxfId="175" priority="179" operator="greaterThan">
      <formula>0.03</formula>
    </cfRule>
    <cfRule type="cellIs" dxfId="174" priority="180" stopIfTrue="1" operator="lessThan">
      <formula>-0.03</formula>
    </cfRule>
  </conditionalFormatting>
  <conditionalFormatting sqref="W27">
    <cfRule type="cellIs" dxfId="173" priority="177" operator="greaterThan">
      <formula>0.03</formula>
    </cfRule>
    <cfRule type="cellIs" dxfId="172" priority="178" stopIfTrue="1" operator="lessThan">
      <formula>-0.03</formula>
    </cfRule>
  </conditionalFormatting>
  <conditionalFormatting sqref="X27">
    <cfRule type="cellIs" dxfId="171" priority="175" operator="greaterThan">
      <formula>0.03</formula>
    </cfRule>
    <cfRule type="cellIs" dxfId="170" priority="176" stopIfTrue="1" operator="lessThan">
      <formula>-0.03</formula>
    </cfRule>
  </conditionalFormatting>
  <conditionalFormatting sqref="Y27">
    <cfRule type="cellIs" dxfId="169" priority="173" operator="greaterThan">
      <formula>0.03</formula>
    </cfRule>
    <cfRule type="cellIs" dxfId="168" priority="174" stopIfTrue="1" operator="lessThan">
      <formula>-0.03</formula>
    </cfRule>
  </conditionalFormatting>
  <conditionalFormatting sqref="W31">
    <cfRule type="cellIs" dxfId="167" priority="171" operator="greaterThan">
      <formula>0.03</formula>
    </cfRule>
    <cfRule type="cellIs" dxfId="166" priority="172" stopIfTrue="1" operator="lessThan">
      <formula>-0.03</formula>
    </cfRule>
  </conditionalFormatting>
  <conditionalFormatting sqref="X31">
    <cfRule type="cellIs" dxfId="165" priority="169" operator="greaterThan">
      <formula>0.03</formula>
    </cfRule>
    <cfRule type="cellIs" dxfId="164" priority="170" stopIfTrue="1" operator="lessThan">
      <formula>-0.03</formula>
    </cfRule>
  </conditionalFormatting>
  <conditionalFormatting sqref="Y31">
    <cfRule type="cellIs" dxfId="163" priority="167" operator="greaterThan">
      <formula>0.03</formula>
    </cfRule>
    <cfRule type="cellIs" dxfId="162" priority="168" stopIfTrue="1" operator="lessThan">
      <formula>-0.03</formula>
    </cfRule>
  </conditionalFormatting>
  <conditionalFormatting sqref="W35">
    <cfRule type="cellIs" dxfId="161" priority="165" operator="greaterThan">
      <formula>0.03</formula>
    </cfRule>
    <cfRule type="cellIs" dxfId="160" priority="166" stopIfTrue="1" operator="lessThan">
      <formula>-0.03</formula>
    </cfRule>
  </conditionalFormatting>
  <conditionalFormatting sqref="X35">
    <cfRule type="cellIs" dxfId="159" priority="163" operator="greaterThan">
      <formula>0.03</formula>
    </cfRule>
    <cfRule type="cellIs" dxfId="158" priority="164" stopIfTrue="1" operator="lessThan">
      <formula>-0.03</formula>
    </cfRule>
  </conditionalFormatting>
  <conditionalFormatting sqref="Y35">
    <cfRule type="cellIs" dxfId="157" priority="161" operator="greaterThan">
      <formula>0.03</formula>
    </cfRule>
    <cfRule type="cellIs" dxfId="156" priority="162" stopIfTrue="1" operator="lessThan">
      <formula>-0.03</formula>
    </cfRule>
  </conditionalFormatting>
  <conditionalFormatting sqref="W39">
    <cfRule type="cellIs" dxfId="155" priority="159" operator="greaterThan">
      <formula>0.03</formula>
    </cfRule>
    <cfRule type="cellIs" dxfId="154" priority="160" stopIfTrue="1" operator="lessThan">
      <formula>-0.03</formula>
    </cfRule>
  </conditionalFormatting>
  <conditionalFormatting sqref="X39">
    <cfRule type="cellIs" dxfId="153" priority="157" operator="greaterThan">
      <formula>0.03</formula>
    </cfRule>
    <cfRule type="cellIs" dxfId="152" priority="158" stopIfTrue="1" operator="lessThan">
      <formula>-0.03</formula>
    </cfRule>
  </conditionalFormatting>
  <conditionalFormatting sqref="Y39">
    <cfRule type="cellIs" dxfId="151" priority="155" operator="greaterThan">
      <formula>0.03</formula>
    </cfRule>
    <cfRule type="cellIs" dxfId="150" priority="156" stopIfTrue="1" operator="lessThan">
      <formula>-0.03</formula>
    </cfRule>
  </conditionalFormatting>
  <conditionalFormatting sqref="W43">
    <cfRule type="cellIs" dxfId="149" priority="153" operator="greaterThan">
      <formula>0.03</formula>
    </cfRule>
    <cfRule type="cellIs" dxfId="148" priority="154" stopIfTrue="1" operator="lessThan">
      <formula>-0.03</formula>
    </cfRule>
  </conditionalFormatting>
  <conditionalFormatting sqref="X43">
    <cfRule type="cellIs" dxfId="147" priority="151" operator="greaterThan">
      <formula>0.03</formula>
    </cfRule>
    <cfRule type="cellIs" dxfId="146" priority="152" stopIfTrue="1" operator="lessThan">
      <formula>-0.03</formula>
    </cfRule>
  </conditionalFormatting>
  <conditionalFormatting sqref="Y43">
    <cfRule type="cellIs" dxfId="145" priority="149" operator="greaterThan">
      <formula>0.03</formula>
    </cfRule>
    <cfRule type="cellIs" dxfId="144" priority="150" stopIfTrue="1" operator="lessThan">
      <formula>-0.03</formula>
    </cfRule>
  </conditionalFormatting>
  <conditionalFormatting sqref="W47">
    <cfRule type="cellIs" dxfId="143" priority="147" operator="greaterThan">
      <formula>0.03</formula>
    </cfRule>
    <cfRule type="cellIs" dxfId="142" priority="148" stopIfTrue="1" operator="lessThan">
      <formula>-0.03</formula>
    </cfRule>
  </conditionalFormatting>
  <conditionalFormatting sqref="X47">
    <cfRule type="cellIs" dxfId="141" priority="145" operator="greaterThan">
      <formula>0.03</formula>
    </cfRule>
    <cfRule type="cellIs" dxfId="140" priority="146" stopIfTrue="1" operator="lessThan">
      <formula>-0.03</formula>
    </cfRule>
  </conditionalFormatting>
  <conditionalFormatting sqref="Y47">
    <cfRule type="cellIs" dxfId="139" priority="143" operator="greaterThan">
      <formula>0.03</formula>
    </cfRule>
    <cfRule type="cellIs" dxfId="138" priority="144" stopIfTrue="1" operator="lessThan">
      <formula>-0.03</formula>
    </cfRule>
  </conditionalFormatting>
  <conditionalFormatting sqref="W51">
    <cfRule type="cellIs" dxfId="137" priority="141" operator="greaterThan">
      <formula>0.03</formula>
    </cfRule>
    <cfRule type="cellIs" dxfId="136" priority="142" stopIfTrue="1" operator="lessThan">
      <formula>-0.03</formula>
    </cfRule>
  </conditionalFormatting>
  <conditionalFormatting sqref="X51">
    <cfRule type="cellIs" dxfId="135" priority="139" operator="greaterThan">
      <formula>0.03</formula>
    </cfRule>
    <cfRule type="cellIs" dxfId="134" priority="140" stopIfTrue="1" operator="lessThan">
      <formula>-0.03</formula>
    </cfRule>
  </conditionalFormatting>
  <conditionalFormatting sqref="Y51">
    <cfRule type="cellIs" dxfId="133" priority="137" operator="greaterThan">
      <formula>0.03</formula>
    </cfRule>
    <cfRule type="cellIs" dxfId="132" priority="138" stopIfTrue="1" operator="lessThan">
      <formula>-0.03</formula>
    </cfRule>
  </conditionalFormatting>
  <conditionalFormatting sqref="W55">
    <cfRule type="cellIs" dxfId="131" priority="135" operator="greaterThan">
      <formula>0.03</formula>
    </cfRule>
    <cfRule type="cellIs" dxfId="130" priority="136" stopIfTrue="1" operator="lessThan">
      <formula>-0.03</formula>
    </cfRule>
  </conditionalFormatting>
  <conditionalFormatting sqref="X55">
    <cfRule type="cellIs" dxfId="129" priority="133" operator="greaterThan">
      <formula>0.03</formula>
    </cfRule>
    <cfRule type="cellIs" dxfId="128" priority="134" stopIfTrue="1" operator="lessThan">
      <formula>-0.03</formula>
    </cfRule>
  </conditionalFormatting>
  <conditionalFormatting sqref="Y55">
    <cfRule type="cellIs" dxfId="127" priority="131" operator="greaterThan">
      <formula>0.03</formula>
    </cfRule>
    <cfRule type="cellIs" dxfId="126" priority="132" stopIfTrue="1" operator="lessThan">
      <formula>-0.03</formula>
    </cfRule>
  </conditionalFormatting>
  <conditionalFormatting sqref="W59">
    <cfRule type="cellIs" dxfId="125" priority="129" operator="greaterThan">
      <formula>0.03</formula>
    </cfRule>
    <cfRule type="cellIs" dxfId="124" priority="130" stopIfTrue="1" operator="lessThan">
      <formula>-0.03</formula>
    </cfRule>
  </conditionalFormatting>
  <conditionalFormatting sqref="X59">
    <cfRule type="cellIs" dxfId="123" priority="127" operator="greaterThan">
      <formula>0.03</formula>
    </cfRule>
    <cfRule type="cellIs" dxfId="122" priority="128" stopIfTrue="1" operator="lessThan">
      <formula>-0.03</formula>
    </cfRule>
  </conditionalFormatting>
  <conditionalFormatting sqref="Y59">
    <cfRule type="cellIs" dxfId="121" priority="125" operator="greaterThan">
      <formula>0.03</formula>
    </cfRule>
    <cfRule type="cellIs" dxfId="120" priority="126" stopIfTrue="1" operator="lessThan">
      <formula>-0.03</formula>
    </cfRule>
  </conditionalFormatting>
  <conditionalFormatting sqref="W63">
    <cfRule type="cellIs" dxfId="119" priority="123" operator="greaterThan">
      <formula>0.03</formula>
    </cfRule>
    <cfRule type="cellIs" dxfId="118" priority="124" stopIfTrue="1" operator="lessThan">
      <formula>-0.03</formula>
    </cfRule>
  </conditionalFormatting>
  <conditionalFormatting sqref="X63">
    <cfRule type="cellIs" dxfId="117" priority="121" operator="greaterThan">
      <formula>0.03</formula>
    </cfRule>
    <cfRule type="cellIs" dxfId="116" priority="122" stopIfTrue="1" operator="lessThan">
      <formula>-0.03</formula>
    </cfRule>
  </conditionalFormatting>
  <conditionalFormatting sqref="Y63">
    <cfRule type="cellIs" dxfId="115" priority="119" operator="greaterThan">
      <formula>0.03</formula>
    </cfRule>
    <cfRule type="cellIs" dxfId="114" priority="120" stopIfTrue="1" operator="lessThan">
      <formula>-0.03</formula>
    </cfRule>
  </conditionalFormatting>
  <conditionalFormatting sqref="W67">
    <cfRule type="cellIs" dxfId="113" priority="117" operator="greaterThan">
      <formula>0.03</formula>
    </cfRule>
    <cfRule type="cellIs" dxfId="112" priority="118" stopIfTrue="1" operator="lessThan">
      <formula>-0.03</formula>
    </cfRule>
  </conditionalFormatting>
  <conditionalFormatting sqref="X67">
    <cfRule type="cellIs" dxfId="111" priority="115" operator="greaterThan">
      <formula>0.03</formula>
    </cfRule>
    <cfRule type="cellIs" dxfId="110" priority="116" stopIfTrue="1" operator="lessThan">
      <formula>-0.03</formula>
    </cfRule>
  </conditionalFormatting>
  <conditionalFormatting sqref="Y67">
    <cfRule type="cellIs" dxfId="109" priority="113" operator="greaterThan">
      <formula>0.03</formula>
    </cfRule>
    <cfRule type="cellIs" dxfId="108" priority="114" stopIfTrue="1" operator="lessThan">
      <formula>-0.03</formula>
    </cfRule>
  </conditionalFormatting>
  <conditionalFormatting sqref="W71">
    <cfRule type="cellIs" dxfId="107" priority="111" operator="greaterThan">
      <formula>0.03</formula>
    </cfRule>
    <cfRule type="cellIs" dxfId="106" priority="112" stopIfTrue="1" operator="lessThan">
      <formula>-0.03</formula>
    </cfRule>
  </conditionalFormatting>
  <conditionalFormatting sqref="X71">
    <cfRule type="cellIs" dxfId="105" priority="109" operator="greaterThan">
      <formula>0.03</formula>
    </cfRule>
    <cfRule type="cellIs" dxfId="104" priority="110" stopIfTrue="1" operator="lessThan">
      <formula>-0.03</formula>
    </cfRule>
  </conditionalFormatting>
  <conditionalFormatting sqref="Y71">
    <cfRule type="cellIs" dxfId="103" priority="107" operator="greaterThan">
      <formula>0.03</formula>
    </cfRule>
    <cfRule type="cellIs" dxfId="102" priority="108" stopIfTrue="1" operator="lessThan">
      <formula>-0.03</formula>
    </cfRule>
  </conditionalFormatting>
  <conditionalFormatting sqref="W75">
    <cfRule type="cellIs" dxfId="101" priority="105" operator="greaterThan">
      <formula>0.03</formula>
    </cfRule>
    <cfRule type="cellIs" dxfId="100" priority="106" stopIfTrue="1" operator="lessThan">
      <formula>-0.03</formula>
    </cfRule>
  </conditionalFormatting>
  <conditionalFormatting sqref="X75">
    <cfRule type="cellIs" dxfId="99" priority="103" operator="greaterThan">
      <formula>0.03</formula>
    </cfRule>
    <cfRule type="cellIs" dxfId="98" priority="104" stopIfTrue="1" operator="lessThan">
      <formula>-0.03</formula>
    </cfRule>
  </conditionalFormatting>
  <conditionalFormatting sqref="Y75">
    <cfRule type="cellIs" dxfId="97" priority="101" operator="greaterThan">
      <formula>0.03</formula>
    </cfRule>
    <cfRule type="cellIs" dxfId="96" priority="102" stopIfTrue="1" operator="lessThan">
      <formula>-0.03</formula>
    </cfRule>
  </conditionalFormatting>
  <conditionalFormatting sqref="W79">
    <cfRule type="cellIs" dxfId="95" priority="99" operator="greaterThan">
      <formula>0.03</formula>
    </cfRule>
    <cfRule type="cellIs" dxfId="94" priority="100" stopIfTrue="1" operator="lessThan">
      <formula>-0.03</formula>
    </cfRule>
  </conditionalFormatting>
  <conditionalFormatting sqref="X79">
    <cfRule type="cellIs" dxfId="93" priority="97" operator="greaterThan">
      <formula>0.03</formula>
    </cfRule>
    <cfRule type="cellIs" dxfId="92" priority="98" stopIfTrue="1" operator="lessThan">
      <formula>-0.03</formula>
    </cfRule>
  </conditionalFormatting>
  <conditionalFormatting sqref="Y79">
    <cfRule type="cellIs" dxfId="91" priority="95" operator="greaterThan">
      <formula>0.03</formula>
    </cfRule>
    <cfRule type="cellIs" dxfId="90" priority="96" stopIfTrue="1" operator="lessThan">
      <formula>-0.03</formula>
    </cfRule>
  </conditionalFormatting>
  <conditionalFormatting sqref="T83:V98">
    <cfRule type="cellIs" dxfId="89" priority="49" operator="greaterThan">
      <formula>0.03</formula>
    </cfRule>
    <cfRule type="cellIs" dxfId="88" priority="50" stopIfTrue="1" operator="lessThan">
      <formula>-0.03</formula>
    </cfRule>
  </conditionalFormatting>
  <conditionalFormatting sqref="W6:X6">
    <cfRule type="cellIs" dxfId="87" priority="91" operator="greaterThan">
      <formula>0.03</formula>
    </cfRule>
    <cfRule type="cellIs" dxfId="86" priority="92" stopIfTrue="1" operator="lessThan">
      <formula>-0.03</formula>
    </cfRule>
  </conditionalFormatting>
  <conditionalFormatting sqref="W10:X10">
    <cfRule type="cellIs" dxfId="85" priority="89" operator="greaterThan">
      <formula>0.03</formula>
    </cfRule>
    <cfRule type="cellIs" dxfId="84" priority="90" stopIfTrue="1" operator="lessThan">
      <formula>-0.03</formula>
    </cfRule>
  </conditionalFormatting>
  <conditionalFormatting sqref="W14:X14">
    <cfRule type="cellIs" dxfId="83" priority="87" operator="greaterThan">
      <formula>0.03</formula>
    </cfRule>
    <cfRule type="cellIs" dxfId="82" priority="88" stopIfTrue="1" operator="lessThan">
      <formula>-0.03</formula>
    </cfRule>
  </conditionalFormatting>
  <conditionalFormatting sqref="W18:X18">
    <cfRule type="cellIs" dxfId="81" priority="85" operator="greaterThan">
      <formula>0.03</formula>
    </cfRule>
    <cfRule type="cellIs" dxfId="80" priority="86" stopIfTrue="1" operator="lessThan">
      <formula>-0.03</formula>
    </cfRule>
  </conditionalFormatting>
  <conditionalFormatting sqref="W22:X22">
    <cfRule type="cellIs" dxfId="79" priority="83" operator="greaterThan">
      <formula>0.03</formula>
    </cfRule>
    <cfRule type="cellIs" dxfId="78" priority="84" stopIfTrue="1" operator="lessThan">
      <formula>-0.03</formula>
    </cfRule>
  </conditionalFormatting>
  <conditionalFormatting sqref="W26:X26">
    <cfRule type="cellIs" dxfId="77" priority="81" operator="greaterThan">
      <formula>0.03</formula>
    </cfRule>
    <cfRule type="cellIs" dxfId="76" priority="82" stopIfTrue="1" operator="lessThan">
      <formula>-0.03</formula>
    </cfRule>
  </conditionalFormatting>
  <conditionalFormatting sqref="W30:X30">
    <cfRule type="cellIs" dxfId="75" priority="79" operator="greaterThan">
      <formula>0.03</formula>
    </cfRule>
    <cfRule type="cellIs" dxfId="74" priority="80" stopIfTrue="1" operator="lessThan">
      <formula>-0.03</formula>
    </cfRule>
  </conditionalFormatting>
  <conditionalFormatting sqref="W34:X34">
    <cfRule type="cellIs" dxfId="73" priority="77" operator="greaterThan">
      <formula>0.03</formula>
    </cfRule>
    <cfRule type="cellIs" dxfId="72" priority="78" stopIfTrue="1" operator="lessThan">
      <formula>-0.03</formula>
    </cfRule>
  </conditionalFormatting>
  <conditionalFormatting sqref="W38:X38">
    <cfRule type="cellIs" dxfId="71" priority="75" operator="greaterThan">
      <formula>0.03</formula>
    </cfRule>
    <cfRule type="cellIs" dxfId="70" priority="76" stopIfTrue="1" operator="lessThan">
      <formula>-0.03</formula>
    </cfRule>
  </conditionalFormatting>
  <conditionalFormatting sqref="W42:X42">
    <cfRule type="cellIs" dxfId="69" priority="73" operator="greaterThan">
      <formula>0.03</formula>
    </cfRule>
    <cfRule type="cellIs" dxfId="68" priority="74" stopIfTrue="1" operator="lessThan">
      <formula>-0.03</formula>
    </cfRule>
  </conditionalFormatting>
  <conditionalFormatting sqref="W46:X46">
    <cfRule type="cellIs" dxfId="67" priority="71" operator="greaterThan">
      <formula>0.03</formula>
    </cfRule>
    <cfRule type="cellIs" dxfId="66" priority="72" stopIfTrue="1" operator="lessThan">
      <formula>-0.03</formula>
    </cfRule>
  </conditionalFormatting>
  <conditionalFormatting sqref="W50:X50">
    <cfRule type="cellIs" dxfId="65" priority="69" operator="greaterThan">
      <formula>0.03</formula>
    </cfRule>
    <cfRule type="cellIs" dxfId="64" priority="70" stopIfTrue="1" operator="lessThan">
      <formula>-0.03</formula>
    </cfRule>
  </conditionalFormatting>
  <conditionalFormatting sqref="W54:X54">
    <cfRule type="cellIs" dxfId="63" priority="67" operator="greaterThan">
      <formula>0.03</formula>
    </cfRule>
    <cfRule type="cellIs" dxfId="62" priority="68" stopIfTrue="1" operator="lessThan">
      <formula>-0.03</formula>
    </cfRule>
  </conditionalFormatting>
  <conditionalFormatting sqref="W58:X58">
    <cfRule type="cellIs" dxfId="61" priority="65" operator="greaterThan">
      <formula>0.03</formula>
    </cfRule>
    <cfRule type="cellIs" dxfId="60" priority="66" stopIfTrue="1" operator="lessThan">
      <formula>-0.03</formula>
    </cfRule>
  </conditionalFormatting>
  <conditionalFormatting sqref="W62:X62">
    <cfRule type="cellIs" dxfId="59" priority="63" operator="greaterThan">
      <formula>0.03</formula>
    </cfRule>
    <cfRule type="cellIs" dxfId="58" priority="64" stopIfTrue="1" operator="lessThan">
      <formula>-0.03</formula>
    </cfRule>
  </conditionalFormatting>
  <conditionalFormatting sqref="W66:X66">
    <cfRule type="cellIs" dxfId="57" priority="61" operator="greaterThan">
      <formula>0.03</formula>
    </cfRule>
    <cfRule type="cellIs" dxfId="56" priority="62" stopIfTrue="1" operator="lessThan">
      <formula>-0.03</formula>
    </cfRule>
  </conditionalFormatting>
  <conditionalFormatting sqref="W70:X70">
    <cfRule type="cellIs" dxfId="55" priority="59" operator="greaterThan">
      <formula>0.03</formula>
    </cfRule>
    <cfRule type="cellIs" dxfId="54" priority="60" stopIfTrue="1" operator="lessThan">
      <formula>-0.03</formula>
    </cfRule>
  </conditionalFormatting>
  <conditionalFormatting sqref="W74:X74">
    <cfRule type="cellIs" dxfId="53" priority="57" operator="greaterThan">
      <formula>0.03</formula>
    </cfRule>
    <cfRule type="cellIs" dxfId="52" priority="58" stopIfTrue="1" operator="lessThan">
      <formula>-0.03</formula>
    </cfRule>
  </conditionalFormatting>
  <conditionalFormatting sqref="T99:V105">
    <cfRule type="cellIs" dxfId="51" priority="53" operator="greaterThan">
      <formula>0.03</formula>
    </cfRule>
    <cfRule type="cellIs" dxfId="50" priority="54" stopIfTrue="1" operator="lessThan">
      <formula>-0.03</formula>
    </cfRule>
  </conditionalFormatting>
  <conditionalFormatting sqref="W99:Y103 W105:Y105">
    <cfRule type="cellIs" dxfId="49" priority="51" operator="greaterThan">
      <formula>0.03</formula>
    </cfRule>
    <cfRule type="cellIs" dxfId="48" priority="52" stopIfTrue="1" operator="lessThan">
      <formula>-0.03</formula>
    </cfRule>
  </conditionalFormatting>
  <conditionalFormatting sqref="W83">
    <cfRule type="cellIs" dxfId="47" priority="47" operator="greaterThan">
      <formula>0.03</formula>
    </cfRule>
    <cfRule type="cellIs" dxfId="46" priority="48" stopIfTrue="1" operator="lessThan">
      <formula>-0.03</formula>
    </cfRule>
  </conditionalFormatting>
  <conditionalFormatting sqref="X83">
    <cfRule type="cellIs" dxfId="45" priority="45" operator="greaterThan">
      <formula>0.03</formula>
    </cfRule>
    <cfRule type="cellIs" dxfId="44" priority="46" stopIfTrue="1" operator="lessThan">
      <formula>-0.03</formula>
    </cfRule>
  </conditionalFormatting>
  <conditionalFormatting sqref="Y83">
    <cfRule type="cellIs" dxfId="43" priority="43" operator="greaterThan">
      <formula>0.03</formula>
    </cfRule>
    <cfRule type="cellIs" dxfId="42" priority="44" stopIfTrue="1" operator="lessThan">
      <formula>-0.03</formula>
    </cfRule>
  </conditionalFormatting>
  <conditionalFormatting sqref="W87">
    <cfRule type="cellIs" dxfId="41" priority="41" operator="greaterThan">
      <formula>0.03</formula>
    </cfRule>
    <cfRule type="cellIs" dxfId="40" priority="42" stopIfTrue="1" operator="lessThan">
      <formula>-0.03</formula>
    </cfRule>
  </conditionalFormatting>
  <conditionalFormatting sqref="X87">
    <cfRule type="cellIs" dxfId="39" priority="39" operator="greaterThan">
      <formula>0.03</formula>
    </cfRule>
    <cfRule type="cellIs" dxfId="38" priority="40" stopIfTrue="1" operator="lessThan">
      <formula>-0.03</formula>
    </cfRule>
  </conditionalFormatting>
  <conditionalFormatting sqref="Y87">
    <cfRule type="cellIs" dxfId="37" priority="37" operator="greaterThan">
      <formula>0.03</formula>
    </cfRule>
    <cfRule type="cellIs" dxfId="36" priority="38" stopIfTrue="1" operator="lessThan">
      <formula>-0.03</formula>
    </cfRule>
  </conditionalFormatting>
  <conditionalFormatting sqref="W91">
    <cfRule type="cellIs" dxfId="35" priority="35" operator="greaterThan">
      <formula>0.03</formula>
    </cfRule>
    <cfRule type="cellIs" dxfId="34" priority="36" stopIfTrue="1" operator="lessThan">
      <formula>-0.03</formula>
    </cfRule>
  </conditionalFormatting>
  <conditionalFormatting sqref="X91">
    <cfRule type="cellIs" dxfId="33" priority="33" operator="greaterThan">
      <formula>0.03</formula>
    </cfRule>
    <cfRule type="cellIs" dxfId="32" priority="34" stopIfTrue="1" operator="lessThan">
      <formula>-0.03</formula>
    </cfRule>
  </conditionalFormatting>
  <conditionalFormatting sqref="Y91">
    <cfRule type="cellIs" dxfId="31" priority="31" operator="greaterThan">
      <formula>0.03</formula>
    </cfRule>
    <cfRule type="cellIs" dxfId="30" priority="32" stopIfTrue="1" operator="lessThan">
      <formula>-0.03</formula>
    </cfRule>
  </conditionalFormatting>
  <conditionalFormatting sqref="W95">
    <cfRule type="cellIs" dxfId="29" priority="29" operator="greaterThan">
      <formula>0.03</formula>
    </cfRule>
    <cfRule type="cellIs" dxfId="28" priority="30" stopIfTrue="1" operator="lessThan">
      <formula>-0.03</formula>
    </cfRule>
  </conditionalFormatting>
  <conditionalFormatting sqref="X95">
    <cfRule type="cellIs" dxfId="27" priority="27" operator="greaterThan">
      <formula>0.03</formula>
    </cfRule>
    <cfRule type="cellIs" dxfId="26" priority="28" stopIfTrue="1" operator="lessThan">
      <formula>-0.03</formula>
    </cfRule>
  </conditionalFormatting>
  <conditionalFormatting sqref="Y95">
    <cfRule type="cellIs" dxfId="25" priority="25" operator="greaterThan">
      <formula>0.03</formula>
    </cfRule>
    <cfRule type="cellIs" dxfId="24" priority="26" stopIfTrue="1" operator="lessThan">
      <formula>-0.03</formula>
    </cfRule>
  </conditionalFormatting>
  <conditionalFormatting sqref="W86:X86">
    <cfRule type="cellIs" dxfId="23" priority="23" operator="greaterThan">
      <formula>0.03</formula>
    </cfRule>
    <cfRule type="cellIs" dxfId="22" priority="24" stopIfTrue="1" operator="lessThan">
      <formula>-0.03</formula>
    </cfRule>
  </conditionalFormatting>
  <conditionalFormatting sqref="W90:X90">
    <cfRule type="cellIs" dxfId="21" priority="21" operator="greaterThan">
      <formula>0.03</formula>
    </cfRule>
    <cfRule type="cellIs" dxfId="20" priority="22" stopIfTrue="1" operator="lessThan">
      <formula>-0.03</formula>
    </cfRule>
  </conditionalFormatting>
  <conditionalFormatting sqref="W94:X94">
    <cfRule type="cellIs" dxfId="19" priority="19" operator="greaterThan">
      <formula>0.03</formula>
    </cfRule>
    <cfRule type="cellIs" dxfId="18" priority="20" stopIfTrue="1" operator="lessThan">
      <formula>-0.03</formula>
    </cfRule>
  </conditionalFormatting>
  <conditionalFormatting sqref="W98:X98">
    <cfRule type="cellIs" dxfId="17" priority="17" operator="greaterThan">
      <formula>0.03</formula>
    </cfRule>
    <cfRule type="cellIs" dxfId="16" priority="18" stopIfTrue="1" operator="lessThan">
      <formula>-0.03</formula>
    </cfRule>
  </conditionalFormatting>
  <conditionalFormatting sqref="W104">
    <cfRule type="cellIs" dxfId="15" priority="15" operator="greaterThan">
      <formula>0.03</formula>
    </cfRule>
    <cfRule type="cellIs" dxfId="14" priority="16" stopIfTrue="1" operator="lessThan">
      <formula>-0.03</formula>
    </cfRule>
  </conditionalFormatting>
  <conditionalFormatting sqref="X104">
    <cfRule type="cellIs" dxfId="13" priority="13" operator="greaterThan">
      <formula>0.03</formula>
    </cfRule>
    <cfRule type="cellIs" dxfId="12" priority="14" stopIfTrue="1" operator="lessThan">
      <formula>-0.03</formula>
    </cfRule>
  </conditionalFormatting>
  <conditionalFormatting sqref="Y104">
    <cfRule type="cellIs" dxfId="11" priority="11" operator="greaterThan">
      <formula>0.03</formula>
    </cfRule>
    <cfRule type="cellIs" dxfId="10" priority="12" stopIfTrue="1" operator="lessThan">
      <formula>-0.03</formula>
    </cfRule>
  </conditionalFormatting>
  <conditionalFormatting sqref="T111:V112">
    <cfRule type="cellIs" dxfId="9" priority="9" operator="greaterThan">
      <formula>0.03</formula>
    </cfRule>
    <cfRule type="cellIs" dxfId="8" priority="10" stopIfTrue="1" operator="lessThan">
      <formula>-0.03</formula>
    </cfRule>
  </conditionalFormatting>
  <conditionalFormatting sqref="W112:Y112">
    <cfRule type="cellIs" dxfId="7" priority="7" operator="greaterThan">
      <formula>0.03</formula>
    </cfRule>
    <cfRule type="cellIs" dxfId="6" priority="8" stopIfTrue="1" operator="lessThan">
      <formula>-0.03</formula>
    </cfRule>
  </conditionalFormatting>
  <conditionalFormatting sqref="W111">
    <cfRule type="cellIs" dxfId="5" priority="5" operator="greaterThan">
      <formula>0.03</formula>
    </cfRule>
    <cfRule type="cellIs" dxfId="4" priority="6" stopIfTrue="1" operator="lessThan">
      <formula>-0.03</formula>
    </cfRule>
  </conditionalFormatting>
  <conditionalFormatting sqref="X111">
    <cfRule type="cellIs" dxfId="3" priority="3" operator="greaterThan">
      <formula>0.03</formula>
    </cfRule>
    <cfRule type="cellIs" dxfId="2" priority="4" stopIfTrue="1" operator="lessThan">
      <formula>-0.03</formula>
    </cfRule>
  </conditionalFormatting>
  <conditionalFormatting sqref="Y111">
    <cfRule type="cellIs" dxfId="1" priority="1" operator="greaterThan">
      <formula>0.03</formula>
    </cfRule>
    <cfRule type="cellIs" dxfId="0" priority="2" stopIfTrue="1" operator="lessThan">
      <formula>-0.03</formula>
    </cfRule>
  </conditionalFormatting>
  <pageMargins left="0.75" right="0.75" top="1" bottom="1" header="0.5" footer="0.5"/>
  <pageSetup paperSize="9" orientation="portrait" horizontalDpi="4294967292" verticalDpi="4294967292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11</vt:i4>
      </vt:variant>
    </vt:vector>
  </HeadingPairs>
  <TitlesOfParts>
    <vt:vector size="11" baseType="lpstr">
      <vt:lpstr>Summary</vt:lpstr>
      <vt:lpstr>Summary (Full)</vt:lpstr>
      <vt:lpstr>Plot</vt:lpstr>
      <vt:lpstr>AI-Main</vt:lpstr>
      <vt:lpstr>RA-Main</vt:lpstr>
      <vt:lpstr>LP-Main</vt:lpstr>
      <vt:lpstr>LB-Main</vt:lpstr>
      <vt:lpstr>AI-HE10</vt:lpstr>
      <vt:lpstr>RA-HE10</vt:lpstr>
      <vt:lpstr>LB-HE10</vt:lpstr>
      <vt:lpstr>LP-HE10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Frank Bossen</dc:creator>
  <cp:lastModifiedBy>Younghyeon Park</cp:lastModifiedBy>
  <dcterms:created xsi:type="dcterms:W3CDTF">2011-06-30T00:09:01Z</dcterms:created>
  <dcterms:modified xsi:type="dcterms:W3CDTF">2015-06-18T17:48:27Z</dcterms:modified>
</cp:coreProperties>
</file>